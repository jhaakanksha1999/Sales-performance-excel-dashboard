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ml.chartshapes+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mc:AlternateContent xmlns:mc="http://schemas.openxmlformats.org/markup-compatibility/2006">
    <mc:Choice Requires="x15">
      <x15ac:absPath xmlns:x15ac="http://schemas.microsoft.com/office/spreadsheetml/2010/11/ac" url="C:\Users\Akanksha Jha\Downloads\"/>
    </mc:Choice>
  </mc:AlternateContent>
  <xr:revisionPtr revIDLastSave="0" documentId="13_ncr:1_{F140124F-1491-47BD-B8C6-2054A74F23F0}" xr6:coauthVersionLast="47" xr6:coauthVersionMax="47" xr10:uidLastSave="{00000000-0000-0000-0000-000000000000}"/>
  <bookViews>
    <workbookView xWindow="-108" yWindow="-108" windowWidth="23256" windowHeight="12456" activeTab="3" xr2:uid="{00000000-000D-0000-FFFF-FFFF00000000}"/>
  </bookViews>
  <sheets>
    <sheet name="Pivot table" sheetId="3" r:id="rId1"/>
    <sheet name="Dashboard" sheetId="4" r:id="rId2"/>
    <sheet name="SalesData" sheetId="1" r:id="rId3"/>
    <sheet name="Data_Dictionary" sheetId="2" r:id="rId4"/>
  </sheets>
  <definedNames>
    <definedName name="_xlnm._FilterDatabase" localSheetId="2" hidden="1">SalesData!$A$1:$L$1001</definedName>
    <definedName name="Slicer_Category">#N/A</definedName>
    <definedName name="Slicer_Region">#N/A</definedName>
    <definedName name="Slicer_Salespers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8" i="1" l="1"/>
  <c r="N17" i="1"/>
  <c r="N14" i="1"/>
  <c r="N11" i="1"/>
  <c r="N4" i="1"/>
  <c r="L1001" i="1"/>
  <c r="L1000" i="1"/>
  <c r="L999" i="1"/>
  <c r="L998" i="1"/>
  <c r="L997" i="1"/>
  <c r="L996" i="1"/>
  <c r="L995" i="1"/>
  <c r="L994" i="1"/>
  <c r="L993" i="1"/>
  <c r="L992" i="1"/>
  <c r="L991" i="1"/>
  <c r="L990" i="1"/>
  <c r="L989" i="1"/>
  <c r="L988" i="1"/>
  <c r="L987" i="1"/>
  <c r="L986" i="1"/>
  <c r="L985" i="1"/>
  <c r="L984" i="1"/>
  <c r="L983" i="1"/>
  <c r="L982" i="1"/>
  <c r="L981" i="1"/>
  <c r="L980" i="1"/>
  <c r="L979" i="1"/>
  <c r="L978" i="1"/>
  <c r="L977" i="1"/>
  <c r="L976" i="1"/>
  <c r="L975" i="1"/>
  <c r="L974" i="1"/>
  <c r="L973" i="1"/>
  <c r="L972" i="1"/>
  <c r="L971" i="1"/>
  <c r="L970" i="1"/>
  <c r="L969" i="1"/>
  <c r="L968" i="1"/>
  <c r="L967" i="1"/>
  <c r="L966" i="1"/>
  <c r="L965" i="1"/>
  <c r="L964" i="1"/>
  <c r="L963" i="1"/>
  <c r="L962" i="1"/>
  <c r="L961" i="1"/>
  <c r="L960" i="1"/>
  <c r="L959" i="1"/>
  <c r="L958" i="1"/>
  <c r="L957" i="1"/>
  <c r="L956" i="1"/>
  <c r="L955" i="1"/>
  <c r="L954" i="1"/>
  <c r="L953" i="1"/>
  <c r="L952" i="1"/>
  <c r="L951" i="1"/>
  <c r="L950" i="1"/>
  <c r="L949" i="1"/>
  <c r="L948" i="1"/>
  <c r="L947" i="1"/>
  <c r="L946" i="1"/>
  <c r="L945" i="1"/>
  <c r="L944" i="1"/>
  <c r="L943" i="1"/>
  <c r="L942" i="1"/>
  <c r="L941" i="1"/>
  <c r="L940" i="1"/>
  <c r="L939" i="1"/>
  <c r="L938" i="1"/>
  <c r="L937" i="1"/>
  <c r="L936" i="1"/>
  <c r="L935" i="1"/>
  <c r="L934" i="1"/>
  <c r="L933" i="1"/>
  <c r="L932" i="1"/>
  <c r="L931" i="1"/>
  <c r="L930" i="1"/>
  <c r="L929" i="1"/>
  <c r="L928" i="1"/>
  <c r="L927" i="1"/>
  <c r="L926" i="1"/>
  <c r="L925" i="1"/>
  <c r="L924" i="1"/>
  <c r="L923" i="1"/>
  <c r="L922" i="1"/>
  <c r="L921" i="1"/>
  <c r="L920" i="1"/>
  <c r="L919" i="1"/>
  <c r="L918" i="1"/>
  <c r="L917" i="1"/>
  <c r="L916" i="1"/>
  <c r="L915" i="1"/>
  <c r="L914" i="1"/>
  <c r="L913" i="1"/>
  <c r="L912" i="1"/>
  <c r="L911" i="1"/>
  <c r="L910" i="1"/>
  <c r="L909" i="1"/>
  <c r="L908" i="1"/>
  <c r="L907" i="1"/>
  <c r="L906" i="1"/>
  <c r="L905" i="1"/>
  <c r="L904" i="1"/>
  <c r="L903" i="1"/>
  <c r="L902" i="1"/>
  <c r="L901" i="1"/>
  <c r="L900" i="1"/>
  <c r="L899" i="1"/>
  <c r="L898" i="1"/>
  <c r="L897" i="1"/>
  <c r="L896" i="1"/>
  <c r="L895" i="1"/>
  <c r="L894" i="1"/>
  <c r="L893" i="1"/>
  <c r="L892" i="1"/>
  <c r="L891" i="1"/>
  <c r="L890" i="1"/>
  <c r="L889" i="1"/>
  <c r="L888" i="1"/>
  <c r="L887" i="1"/>
  <c r="L886" i="1"/>
  <c r="L885" i="1"/>
  <c r="L884" i="1"/>
  <c r="L883" i="1"/>
  <c r="L882" i="1"/>
  <c r="L881" i="1"/>
  <c r="L880" i="1"/>
  <c r="L879" i="1"/>
  <c r="L878" i="1"/>
  <c r="L877" i="1"/>
  <c r="L876" i="1"/>
  <c r="L875" i="1"/>
  <c r="L874" i="1"/>
  <c r="L873" i="1"/>
  <c r="L872" i="1"/>
  <c r="L871" i="1"/>
  <c r="L870" i="1"/>
  <c r="L869" i="1"/>
  <c r="L868" i="1"/>
  <c r="L867" i="1"/>
  <c r="L866" i="1"/>
  <c r="L865" i="1"/>
  <c r="L864" i="1"/>
  <c r="L863" i="1"/>
  <c r="L862" i="1"/>
  <c r="L861" i="1"/>
  <c r="L860" i="1"/>
  <c r="L859" i="1"/>
  <c r="L858" i="1"/>
  <c r="L857" i="1"/>
  <c r="L856" i="1"/>
  <c r="L855" i="1"/>
  <c r="L854" i="1"/>
  <c r="L853" i="1"/>
  <c r="L852" i="1"/>
  <c r="L851" i="1"/>
  <c r="L850" i="1"/>
  <c r="L849" i="1"/>
  <c r="L848" i="1"/>
  <c r="L847" i="1"/>
  <c r="L846" i="1"/>
  <c r="L845" i="1"/>
  <c r="L844" i="1"/>
  <c r="L843" i="1"/>
  <c r="L842" i="1"/>
  <c r="L841" i="1"/>
  <c r="L840" i="1"/>
  <c r="L839" i="1"/>
  <c r="L838" i="1"/>
  <c r="L837" i="1"/>
  <c r="L836" i="1"/>
  <c r="L835" i="1"/>
  <c r="L834" i="1"/>
  <c r="L833" i="1"/>
  <c r="L832" i="1"/>
  <c r="L831" i="1"/>
  <c r="L830" i="1"/>
  <c r="L829" i="1"/>
  <c r="L828" i="1"/>
  <c r="L827" i="1"/>
  <c r="L826" i="1"/>
  <c r="L825" i="1"/>
  <c r="L824" i="1"/>
  <c r="L823" i="1"/>
  <c r="L822" i="1"/>
  <c r="L821" i="1"/>
  <c r="L820" i="1"/>
  <c r="L819" i="1"/>
  <c r="L818" i="1"/>
  <c r="L817" i="1"/>
  <c r="L816" i="1"/>
  <c r="L815" i="1"/>
  <c r="L814" i="1"/>
  <c r="L813" i="1"/>
  <c r="L812" i="1"/>
  <c r="L811" i="1"/>
  <c r="L810" i="1"/>
  <c r="L809" i="1"/>
  <c r="L808" i="1"/>
  <c r="L807" i="1"/>
  <c r="L806" i="1"/>
  <c r="L805" i="1"/>
  <c r="L804" i="1"/>
  <c r="L803" i="1"/>
  <c r="L802" i="1"/>
  <c r="L801" i="1"/>
  <c r="L800" i="1"/>
  <c r="L799" i="1"/>
  <c r="L798" i="1"/>
  <c r="L797" i="1"/>
  <c r="L796" i="1"/>
  <c r="L795" i="1"/>
  <c r="L794" i="1"/>
  <c r="L793" i="1"/>
  <c r="L792" i="1"/>
  <c r="L791" i="1"/>
  <c r="L790" i="1"/>
  <c r="L789" i="1"/>
  <c r="L788" i="1"/>
  <c r="L787" i="1"/>
  <c r="L786" i="1"/>
  <c r="L785" i="1"/>
  <c r="L784" i="1"/>
  <c r="L783" i="1"/>
  <c r="L782" i="1"/>
  <c r="L781" i="1"/>
  <c r="L780" i="1"/>
  <c r="L779" i="1"/>
  <c r="L778" i="1"/>
  <c r="L777" i="1"/>
  <c r="L776" i="1"/>
  <c r="L775" i="1"/>
  <c r="L774" i="1"/>
  <c r="L773" i="1"/>
  <c r="L772" i="1"/>
  <c r="L771" i="1"/>
  <c r="L770" i="1"/>
  <c r="L769" i="1"/>
  <c r="L768" i="1"/>
  <c r="L767" i="1"/>
  <c r="L766" i="1"/>
  <c r="L765" i="1"/>
  <c r="L764" i="1"/>
  <c r="L763" i="1"/>
  <c r="L762" i="1"/>
  <c r="L761" i="1"/>
  <c r="L760" i="1"/>
  <c r="L759" i="1"/>
  <c r="L758" i="1"/>
  <c r="L757" i="1"/>
  <c r="L756" i="1"/>
  <c r="L755" i="1"/>
  <c r="L754" i="1"/>
  <c r="L753" i="1"/>
  <c r="L752" i="1"/>
  <c r="L751" i="1"/>
  <c r="L750" i="1"/>
  <c r="L749" i="1"/>
  <c r="L748" i="1"/>
  <c r="L747" i="1"/>
  <c r="L746" i="1"/>
  <c r="L745" i="1"/>
  <c r="L744" i="1"/>
  <c r="L743" i="1"/>
  <c r="L742" i="1"/>
  <c r="L741" i="1"/>
  <c r="L740" i="1"/>
  <c r="L739" i="1"/>
  <c r="L738" i="1"/>
  <c r="L737" i="1"/>
  <c r="L736" i="1"/>
  <c r="L735" i="1"/>
  <c r="L734" i="1"/>
  <c r="L733" i="1"/>
  <c r="L732" i="1"/>
  <c r="L731" i="1"/>
  <c r="L730" i="1"/>
  <c r="L729" i="1"/>
  <c r="L728" i="1"/>
  <c r="L727" i="1"/>
  <c r="L726" i="1"/>
  <c r="L725" i="1"/>
  <c r="L724" i="1"/>
  <c r="L723" i="1"/>
  <c r="L722" i="1"/>
  <c r="L721" i="1"/>
  <c r="L720" i="1"/>
  <c r="L719" i="1"/>
  <c r="L718" i="1"/>
  <c r="L717" i="1"/>
  <c r="L716" i="1"/>
  <c r="L715" i="1"/>
  <c r="L714" i="1"/>
  <c r="L713" i="1"/>
  <c r="L712" i="1"/>
  <c r="L711" i="1"/>
  <c r="L710" i="1"/>
  <c r="L709" i="1"/>
  <c r="L708" i="1"/>
  <c r="L707" i="1"/>
  <c r="L706" i="1"/>
  <c r="L705" i="1"/>
  <c r="L704" i="1"/>
  <c r="L703" i="1"/>
  <c r="L702" i="1"/>
  <c r="L701" i="1"/>
  <c r="L700" i="1"/>
  <c r="L699" i="1"/>
  <c r="L698" i="1"/>
  <c r="L697" i="1"/>
  <c r="L696" i="1"/>
  <c r="L695" i="1"/>
  <c r="L694" i="1"/>
  <c r="L693" i="1"/>
  <c r="L692" i="1"/>
  <c r="L691" i="1"/>
  <c r="L690" i="1"/>
  <c r="L689" i="1"/>
  <c r="L688" i="1"/>
  <c r="L687" i="1"/>
  <c r="L686" i="1"/>
  <c r="L685" i="1"/>
  <c r="L684" i="1"/>
  <c r="L683" i="1"/>
  <c r="L682" i="1"/>
  <c r="L681" i="1"/>
  <c r="L680" i="1"/>
  <c r="L679" i="1"/>
  <c r="L678" i="1"/>
  <c r="L677" i="1"/>
  <c r="L676" i="1"/>
  <c r="L675" i="1"/>
  <c r="L674" i="1"/>
  <c r="L673" i="1"/>
  <c r="L672" i="1"/>
  <c r="L671" i="1"/>
  <c r="L670" i="1"/>
  <c r="L669" i="1"/>
  <c r="L668" i="1"/>
  <c r="L667" i="1"/>
  <c r="L666" i="1"/>
  <c r="L665" i="1"/>
  <c r="L664" i="1"/>
  <c r="L663" i="1"/>
  <c r="L662" i="1"/>
  <c r="L661" i="1"/>
  <c r="L660" i="1"/>
  <c r="L659" i="1"/>
  <c r="L658" i="1"/>
  <c r="L657" i="1"/>
  <c r="L656" i="1"/>
  <c r="L655" i="1"/>
  <c r="L654" i="1"/>
  <c r="L653" i="1"/>
  <c r="L652" i="1"/>
  <c r="L651" i="1"/>
  <c r="L650" i="1"/>
  <c r="L649" i="1"/>
  <c r="L648" i="1"/>
  <c r="L647" i="1"/>
  <c r="L646" i="1"/>
  <c r="L645" i="1"/>
  <c r="L644" i="1"/>
  <c r="L643" i="1"/>
  <c r="L642" i="1"/>
  <c r="L641" i="1"/>
  <c r="L640" i="1"/>
  <c r="L639" i="1"/>
  <c r="L638" i="1"/>
  <c r="L637" i="1"/>
  <c r="L636" i="1"/>
  <c r="L635" i="1"/>
  <c r="L634" i="1"/>
  <c r="L633" i="1"/>
  <c r="L632" i="1"/>
  <c r="L631" i="1"/>
  <c r="L630" i="1"/>
  <c r="L629" i="1"/>
  <c r="L628" i="1"/>
  <c r="L627" i="1"/>
  <c r="L626" i="1"/>
  <c r="L625" i="1"/>
  <c r="L624" i="1"/>
  <c r="L623" i="1"/>
  <c r="L622" i="1"/>
  <c r="L621" i="1"/>
  <c r="L620" i="1"/>
  <c r="L619" i="1"/>
  <c r="L618" i="1"/>
  <c r="L617" i="1"/>
  <c r="L616" i="1"/>
  <c r="L615" i="1"/>
  <c r="L614" i="1"/>
  <c r="L613" i="1"/>
  <c r="L612" i="1"/>
  <c r="L611" i="1"/>
  <c r="L610" i="1"/>
  <c r="L609" i="1"/>
  <c r="L608" i="1"/>
  <c r="L607" i="1"/>
  <c r="L606" i="1"/>
  <c r="L605" i="1"/>
  <c r="L604" i="1"/>
  <c r="L603" i="1"/>
  <c r="L602" i="1"/>
  <c r="L601" i="1"/>
  <c r="L600" i="1"/>
  <c r="L599" i="1"/>
  <c r="L598" i="1"/>
  <c r="L597" i="1"/>
  <c r="L596" i="1"/>
  <c r="L595" i="1"/>
  <c r="L594" i="1"/>
  <c r="L593" i="1"/>
  <c r="L592" i="1"/>
  <c r="L591" i="1"/>
  <c r="L590" i="1"/>
  <c r="L589" i="1"/>
  <c r="L588" i="1"/>
  <c r="L587" i="1"/>
  <c r="L586" i="1"/>
  <c r="L585" i="1"/>
  <c r="L584" i="1"/>
  <c r="L583" i="1"/>
  <c r="L582" i="1"/>
  <c r="L581" i="1"/>
  <c r="L580" i="1"/>
  <c r="L579" i="1"/>
  <c r="L578" i="1"/>
  <c r="L577" i="1"/>
  <c r="L576" i="1"/>
  <c r="L575" i="1"/>
  <c r="L574" i="1"/>
  <c r="L573" i="1"/>
  <c r="L572" i="1"/>
  <c r="L571" i="1"/>
  <c r="L570" i="1"/>
  <c r="L569" i="1"/>
  <c r="L568" i="1"/>
  <c r="L567" i="1"/>
  <c r="L566" i="1"/>
  <c r="L565" i="1"/>
  <c r="L564" i="1"/>
  <c r="L563" i="1"/>
  <c r="L562" i="1"/>
  <c r="L561" i="1"/>
  <c r="L560" i="1"/>
  <c r="L559" i="1"/>
  <c r="L558" i="1"/>
  <c r="L557" i="1"/>
  <c r="L556" i="1"/>
  <c r="L555" i="1"/>
  <c r="L554" i="1"/>
  <c r="L553" i="1"/>
  <c r="L552" i="1"/>
  <c r="L551" i="1"/>
  <c r="L550" i="1"/>
  <c r="L549" i="1"/>
  <c r="L548" i="1"/>
  <c r="L547" i="1"/>
  <c r="L546" i="1"/>
  <c r="L545" i="1"/>
  <c r="L544" i="1"/>
  <c r="L543" i="1"/>
  <c r="L542" i="1"/>
  <c r="L541" i="1"/>
  <c r="L540" i="1"/>
  <c r="L539" i="1"/>
  <c r="L538" i="1"/>
  <c r="L537" i="1"/>
  <c r="L536" i="1"/>
  <c r="L535" i="1"/>
  <c r="L534" i="1"/>
  <c r="L533" i="1"/>
  <c r="L532" i="1"/>
  <c r="L531" i="1"/>
  <c r="L530" i="1"/>
  <c r="L529" i="1"/>
  <c r="L528" i="1"/>
  <c r="L527" i="1"/>
  <c r="L526" i="1"/>
  <c r="L525" i="1"/>
  <c r="L524" i="1"/>
  <c r="L523" i="1"/>
  <c r="L522" i="1"/>
  <c r="L521" i="1"/>
  <c r="L520" i="1"/>
  <c r="L519" i="1"/>
  <c r="L518" i="1"/>
  <c r="L517" i="1"/>
  <c r="L516" i="1"/>
  <c r="L515" i="1"/>
  <c r="L514" i="1"/>
  <c r="L513" i="1"/>
  <c r="L512" i="1"/>
  <c r="L511" i="1"/>
  <c r="L510" i="1"/>
  <c r="L509" i="1"/>
  <c r="L508" i="1"/>
  <c r="L507" i="1"/>
  <c r="L506" i="1"/>
  <c r="L505" i="1"/>
  <c r="L504" i="1"/>
  <c r="L503" i="1"/>
  <c r="L502" i="1"/>
  <c r="L501" i="1"/>
  <c r="L500" i="1"/>
  <c r="L499" i="1"/>
  <c r="L498" i="1"/>
  <c r="L497" i="1"/>
  <c r="L496" i="1"/>
  <c r="L495" i="1"/>
  <c r="L494" i="1"/>
  <c r="L493" i="1"/>
  <c r="L492" i="1"/>
  <c r="L491" i="1"/>
  <c r="L490" i="1"/>
  <c r="L489" i="1"/>
  <c r="L488" i="1"/>
  <c r="L487" i="1"/>
  <c r="L486" i="1"/>
  <c r="L485" i="1"/>
  <c r="L484" i="1"/>
  <c r="L483" i="1"/>
  <c r="L482" i="1"/>
  <c r="L481" i="1"/>
  <c r="L480" i="1"/>
  <c r="L479" i="1"/>
  <c r="L478" i="1"/>
  <c r="L477" i="1"/>
  <c r="L476" i="1"/>
  <c r="L475" i="1"/>
  <c r="L474" i="1"/>
  <c r="L473" i="1"/>
  <c r="L472" i="1"/>
  <c r="L471" i="1"/>
  <c r="L470" i="1"/>
  <c r="L469" i="1"/>
  <c r="L468" i="1"/>
  <c r="L467" i="1"/>
  <c r="L466" i="1"/>
  <c r="L465" i="1"/>
  <c r="L464" i="1"/>
  <c r="L463" i="1"/>
  <c r="L462" i="1"/>
  <c r="L461" i="1"/>
  <c r="L460" i="1"/>
  <c r="L459" i="1"/>
  <c r="L458" i="1"/>
  <c r="L457" i="1"/>
  <c r="L456" i="1"/>
  <c r="L455" i="1"/>
  <c r="L454" i="1"/>
  <c r="L453" i="1"/>
  <c r="L452" i="1"/>
  <c r="L451" i="1"/>
  <c r="L450" i="1"/>
  <c r="L449" i="1"/>
  <c r="L448" i="1"/>
  <c r="L447" i="1"/>
  <c r="L446" i="1"/>
  <c r="L445" i="1"/>
  <c r="L444" i="1"/>
  <c r="L443" i="1"/>
  <c r="L442" i="1"/>
  <c r="L441" i="1"/>
  <c r="L440" i="1"/>
  <c r="L439" i="1"/>
  <c r="L438" i="1"/>
  <c r="L437" i="1"/>
  <c r="L436" i="1"/>
  <c r="L435" i="1"/>
  <c r="L434" i="1"/>
  <c r="L433" i="1"/>
  <c r="L432" i="1"/>
  <c r="L431" i="1"/>
  <c r="L430" i="1"/>
  <c r="L429" i="1"/>
  <c r="L428" i="1"/>
  <c r="L427" i="1"/>
  <c r="L426" i="1"/>
  <c r="L425" i="1"/>
  <c r="L424" i="1"/>
  <c r="L423" i="1"/>
  <c r="L422" i="1"/>
  <c r="L421" i="1"/>
  <c r="L420" i="1"/>
  <c r="L419" i="1"/>
  <c r="L418" i="1"/>
  <c r="L417" i="1"/>
  <c r="L416" i="1"/>
  <c r="L415" i="1"/>
  <c r="L414" i="1"/>
  <c r="L413" i="1"/>
  <c r="L412" i="1"/>
  <c r="L411" i="1"/>
  <c r="L410" i="1"/>
  <c r="L409" i="1"/>
  <c r="L408" i="1"/>
  <c r="L407" i="1"/>
  <c r="L406" i="1"/>
  <c r="L405" i="1"/>
  <c r="L404" i="1"/>
  <c r="L403" i="1"/>
  <c r="L402" i="1"/>
  <c r="L401" i="1"/>
  <c r="L400" i="1"/>
  <c r="L399" i="1"/>
  <c r="L398" i="1"/>
  <c r="L397" i="1"/>
  <c r="L396" i="1"/>
  <c r="L395" i="1"/>
  <c r="L394" i="1"/>
  <c r="L393" i="1"/>
  <c r="L392" i="1"/>
  <c r="L391" i="1"/>
  <c r="L390" i="1"/>
  <c r="L389" i="1"/>
  <c r="L388" i="1"/>
  <c r="L387" i="1"/>
  <c r="L386" i="1"/>
  <c r="L385" i="1"/>
  <c r="L384" i="1"/>
  <c r="L383" i="1"/>
  <c r="L382" i="1"/>
  <c r="L381" i="1"/>
  <c r="L380" i="1"/>
  <c r="L379" i="1"/>
  <c r="L378" i="1"/>
  <c r="L377" i="1"/>
  <c r="L376" i="1"/>
  <c r="L375" i="1"/>
  <c r="L374" i="1"/>
  <c r="L373" i="1"/>
  <c r="L372" i="1"/>
  <c r="L371" i="1"/>
  <c r="L370" i="1"/>
  <c r="L369" i="1"/>
  <c r="L368" i="1"/>
  <c r="L367" i="1"/>
  <c r="L366" i="1"/>
  <c r="L365" i="1"/>
  <c r="L364" i="1"/>
  <c r="L363" i="1"/>
  <c r="L362" i="1"/>
  <c r="L361" i="1"/>
  <c r="L360" i="1"/>
  <c r="L359" i="1"/>
  <c r="L358" i="1"/>
  <c r="L357" i="1"/>
  <c r="L356" i="1"/>
  <c r="L355" i="1"/>
  <c r="L354" i="1"/>
  <c r="L353" i="1"/>
  <c r="L352" i="1"/>
  <c r="L351" i="1"/>
  <c r="L350" i="1"/>
  <c r="L349" i="1"/>
  <c r="L348" i="1"/>
  <c r="L347" i="1"/>
  <c r="L346" i="1"/>
  <c r="L345" i="1"/>
  <c r="L344" i="1"/>
  <c r="L343" i="1"/>
  <c r="L342" i="1"/>
  <c r="L341" i="1"/>
  <c r="L340" i="1"/>
  <c r="L339" i="1"/>
  <c r="L338" i="1"/>
  <c r="L337" i="1"/>
  <c r="L336" i="1"/>
  <c r="L335" i="1"/>
  <c r="L334" i="1"/>
  <c r="L333" i="1"/>
  <c r="L332" i="1"/>
  <c r="L331" i="1"/>
  <c r="L330" i="1"/>
  <c r="L329" i="1"/>
  <c r="L328" i="1"/>
  <c r="L327" i="1"/>
  <c r="L326" i="1"/>
  <c r="L325" i="1"/>
  <c r="L324" i="1"/>
  <c r="L323" i="1"/>
  <c r="L322" i="1"/>
  <c r="L321" i="1"/>
  <c r="L320" i="1"/>
  <c r="L319" i="1"/>
  <c r="L318" i="1"/>
  <c r="L317" i="1"/>
  <c r="L316" i="1"/>
  <c r="L315" i="1"/>
  <c r="L314" i="1"/>
  <c r="L313" i="1"/>
  <c r="L312" i="1"/>
  <c r="L311" i="1"/>
  <c r="L310" i="1"/>
  <c r="L309" i="1"/>
  <c r="L308" i="1"/>
  <c r="L307" i="1"/>
  <c r="L306" i="1"/>
  <c r="L305" i="1"/>
  <c r="L304" i="1"/>
  <c r="L303" i="1"/>
  <c r="L302" i="1"/>
  <c r="L301" i="1"/>
  <c r="L300" i="1"/>
  <c r="L299" i="1"/>
  <c r="L298" i="1"/>
  <c r="L297" i="1"/>
  <c r="L296" i="1"/>
  <c r="L295" i="1"/>
  <c r="L294" i="1"/>
  <c r="L293" i="1"/>
  <c r="L292" i="1"/>
  <c r="L291" i="1"/>
  <c r="L290" i="1"/>
  <c r="L289" i="1"/>
  <c r="L288" i="1"/>
  <c r="L287" i="1"/>
  <c r="L286" i="1"/>
  <c r="L285" i="1"/>
  <c r="L284" i="1"/>
  <c r="L283" i="1"/>
  <c r="L282" i="1"/>
  <c r="L281" i="1"/>
  <c r="L280" i="1"/>
  <c r="L279" i="1"/>
  <c r="L278" i="1"/>
  <c r="L277" i="1"/>
  <c r="L276" i="1"/>
  <c r="L275" i="1"/>
  <c r="L274" i="1"/>
  <c r="L273" i="1"/>
  <c r="L272" i="1"/>
  <c r="L271" i="1"/>
  <c r="L270" i="1"/>
  <c r="L269" i="1"/>
  <c r="L268" i="1"/>
  <c r="L267" i="1"/>
  <c r="L266" i="1"/>
  <c r="L265" i="1"/>
  <c r="L264" i="1"/>
  <c r="L263" i="1"/>
  <c r="L262" i="1"/>
  <c r="L261" i="1"/>
  <c r="L260" i="1"/>
  <c r="L259" i="1"/>
  <c r="L258" i="1"/>
  <c r="L257" i="1"/>
  <c r="L256" i="1"/>
  <c r="L255" i="1"/>
  <c r="L254" i="1"/>
  <c r="L253" i="1"/>
  <c r="L252" i="1"/>
  <c r="L251" i="1"/>
  <c r="L250" i="1"/>
  <c r="L249" i="1"/>
  <c r="L248" i="1"/>
  <c r="L247" i="1"/>
  <c r="L246" i="1"/>
  <c r="L245" i="1"/>
  <c r="L244" i="1"/>
  <c r="L243" i="1"/>
  <c r="L242" i="1"/>
  <c r="L241" i="1"/>
  <c r="L240" i="1"/>
  <c r="L239" i="1"/>
  <c r="L238" i="1"/>
  <c r="L237" i="1"/>
  <c r="L236" i="1"/>
  <c r="L235" i="1"/>
  <c r="L234" i="1"/>
  <c r="L233" i="1"/>
  <c r="L232" i="1"/>
  <c r="L231" i="1"/>
  <c r="L230" i="1"/>
  <c r="L229" i="1"/>
  <c r="L228" i="1"/>
  <c r="L227" i="1"/>
  <c r="L226" i="1"/>
  <c r="L225" i="1"/>
  <c r="L224" i="1"/>
  <c r="L223" i="1"/>
  <c r="L222" i="1"/>
  <c r="L221" i="1"/>
  <c r="L220" i="1"/>
  <c r="L219" i="1"/>
  <c r="L218" i="1"/>
  <c r="L217" i="1"/>
  <c r="L216" i="1"/>
  <c r="L215" i="1"/>
  <c r="L214" i="1"/>
  <c r="L213" i="1"/>
  <c r="L212" i="1"/>
  <c r="L211" i="1"/>
  <c r="L210" i="1"/>
  <c r="L209" i="1"/>
  <c r="L208" i="1"/>
  <c r="L207" i="1"/>
  <c r="L206" i="1"/>
  <c r="L205" i="1"/>
  <c r="L204" i="1"/>
  <c r="L203" i="1"/>
  <c r="L202" i="1"/>
  <c r="L201" i="1"/>
  <c r="L200" i="1"/>
  <c r="L199" i="1"/>
  <c r="L198" i="1"/>
  <c r="L197" i="1"/>
  <c r="L196" i="1"/>
  <c r="L195" i="1"/>
  <c r="L194" i="1"/>
  <c r="L193" i="1"/>
  <c r="L192" i="1"/>
  <c r="L191" i="1"/>
  <c r="L190" i="1"/>
  <c r="L189" i="1"/>
  <c r="L188" i="1"/>
  <c r="L187" i="1"/>
  <c r="L186" i="1"/>
  <c r="L185" i="1"/>
  <c r="L184" i="1"/>
  <c r="L183" i="1"/>
  <c r="L182" i="1"/>
  <c r="L181" i="1"/>
  <c r="L180" i="1"/>
  <c r="L179" i="1"/>
  <c r="L178" i="1"/>
  <c r="L177" i="1"/>
  <c r="L176" i="1"/>
  <c r="L175" i="1"/>
  <c r="L174" i="1"/>
  <c r="L173" i="1"/>
  <c r="L172" i="1"/>
  <c r="L171" i="1"/>
  <c r="L170" i="1"/>
  <c r="L169" i="1"/>
  <c r="L168" i="1"/>
  <c r="L167" i="1"/>
  <c r="L166" i="1"/>
  <c r="L165" i="1"/>
  <c r="L164" i="1"/>
  <c r="L163" i="1"/>
  <c r="L162" i="1"/>
  <c r="L161" i="1"/>
  <c r="L160" i="1"/>
  <c r="L159" i="1"/>
  <c r="L158" i="1"/>
  <c r="L157" i="1"/>
  <c r="L156" i="1"/>
  <c r="L155" i="1"/>
  <c r="L154" i="1"/>
  <c r="L153" i="1"/>
  <c r="L152" i="1"/>
  <c r="L151" i="1"/>
  <c r="L150" i="1"/>
  <c r="L149" i="1"/>
  <c r="L148" i="1"/>
  <c r="L147" i="1"/>
  <c r="L146" i="1"/>
  <c r="L145" i="1"/>
  <c r="L144" i="1"/>
  <c r="L143" i="1"/>
  <c r="L142" i="1"/>
  <c r="L141" i="1"/>
  <c r="L140" i="1"/>
  <c r="L139" i="1"/>
  <c r="L138" i="1"/>
  <c r="L137" i="1"/>
  <c r="L136" i="1"/>
  <c r="L135" i="1"/>
  <c r="L134" i="1"/>
  <c r="L133" i="1"/>
  <c r="L132" i="1"/>
  <c r="L131" i="1"/>
  <c r="L130" i="1"/>
  <c r="L129" i="1"/>
  <c r="L128" i="1"/>
  <c r="L127" i="1"/>
  <c r="L126" i="1"/>
  <c r="L125" i="1"/>
  <c r="L124" i="1"/>
  <c r="L123" i="1"/>
  <c r="L122" i="1"/>
  <c r="L121" i="1"/>
  <c r="L120" i="1"/>
  <c r="L119" i="1"/>
  <c r="L118" i="1"/>
  <c r="L117" i="1"/>
  <c r="L116" i="1"/>
  <c r="L115" i="1"/>
  <c r="L114" i="1"/>
  <c r="L113" i="1"/>
  <c r="L112" i="1"/>
  <c r="L111" i="1"/>
  <c r="L110" i="1"/>
  <c r="L109" i="1"/>
  <c r="L108" i="1"/>
  <c r="L107" i="1"/>
  <c r="L106" i="1"/>
  <c r="L105" i="1"/>
  <c r="L104" i="1"/>
  <c r="L103" i="1"/>
  <c r="L102" i="1"/>
  <c r="L101" i="1"/>
  <c r="L100" i="1"/>
  <c r="L99" i="1"/>
  <c r="L98" i="1"/>
  <c r="L97" i="1"/>
  <c r="L96" i="1"/>
  <c r="L95" i="1"/>
  <c r="L94" i="1"/>
  <c r="L93" i="1"/>
  <c r="L92" i="1"/>
  <c r="L91" i="1"/>
  <c r="L90" i="1"/>
  <c r="L89" i="1"/>
  <c r="L88" i="1"/>
  <c r="L87" i="1"/>
  <c r="L86" i="1"/>
  <c r="L85" i="1"/>
  <c r="L84" i="1"/>
  <c r="L83" i="1"/>
  <c r="L82" i="1"/>
  <c r="L81" i="1"/>
  <c r="L80" i="1"/>
  <c r="L79" i="1"/>
  <c r="L78" i="1"/>
  <c r="L77" i="1"/>
  <c r="L76" i="1"/>
  <c r="L75" i="1"/>
  <c r="L74" i="1"/>
  <c r="L73" i="1"/>
  <c r="L72" i="1"/>
  <c r="L71" i="1"/>
  <c r="L70" i="1"/>
  <c r="L69" i="1"/>
  <c r="L68" i="1"/>
  <c r="L67" i="1"/>
  <c r="L66" i="1"/>
  <c r="L65" i="1"/>
  <c r="L64" i="1"/>
  <c r="L63" i="1"/>
  <c r="L62" i="1"/>
  <c r="L61" i="1"/>
  <c r="L60" i="1"/>
  <c r="L59" i="1"/>
  <c r="L58" i="1"/>
  <c r="L57" i="1"/>
  <c r="L56" i="1"/>
  <c r="L55" i="1"/>
  <c r="L54" i="1"/>
  <c r="L53" i="1"/>
  <c r="L52" i="1"/>
  <c r="L51" i="1"/>
  <c r="L50" i="1"/>
  <c r="L49" i="1"/>
  <c r="L48" i="1"/>
  <c r="L47" i="1"/>
  <c r="L46" i="1"/>
  <c r="L45" i="1"/>
  <c r="L44" i="1"/>
  <c r="L43" i="1"/>
  <c r="L42" i="1"/>
  <c r="L41" i="1"/>
  <c r="L40" i="1"/>
  <c r="L39" i="1"/>
  <c r="L38" i="1"/>
  <c r="L37" i="1"/>
  <c r="L36" i="1"/>
  <c r="L35" i="1"/>
  <c r="L34" i="1"/>
  <c r="L33" i="1"/>
  <c r="L32" i="1"/>
  <c r="L31" i="1"/>
  <c r="L30" i="1"/>
  <c r="L29" i="1"/>
  <c r="L28" i="1"/>
  <c r="L27" i="1"/>
  <c r="L26" i="1"/>
  <c r="L25" i="1"/>
  <c r="L24" i="1"/>
  <c r="L23" i="1"/>
  <c r="L22" i="1"/>
  <c r="L21" i="1"/>
  <c r="L20" i="1"/>
  <c r="L19" i="1"/>
  <c r="L18" i="1"/>
  <c r="L17" i="1"/>
  <c r="L16" i="1"/>
  <c r="L15" i="1"/>
  <c r="L14" i="1"/>
  <c r="L13" i="1"/>
  <c r="L12" i="1"/>
  <c r="L11" i="1"/>
  <c r="L10" i="1"/>
  <c r="L9" i="1"/>
  <c r="L8" i="1"/>
  <c r="L7" i="1"/>
  <c r="L6" i="1"/>
  <c r="L5" i="1"/>
  <c r="L4" i="1"/>
  <c r="L3" i="1"/>
  <c r="L2" i="1"/>
</calcChain>
</file>

<file path=xl/sharedStrings.xml><?xml version="1.0" encoding="utf-8"?>
<sst xmlns="http://schemas.openxmlformats.org/spreadsheetml/2006/main" count="6094" uniqueCount="407">
  <si>
    <t>Date</t>
  </si>
  <si>
    <t>Month</t>
  </si>
  <si>
    <t>Year</t>
  </si>
  <si>
    <t>Region</t>
  </si>
  <si>
    <t>Salesperson</t>
  </si>
  <si>
    <t>Product</t>
  </si>
  <si>
    <t>Category</t>
  </si>
  <si>
    <t>Units Sold</t>
  </si>
  <si>
    <t>Revenue ($)</t>
  </si>
  <si>
    <t>Target ($)</t>
  </si>
  <si>
    <t>Profit ($)</t>
  </si>
  <si>
    <t>2025-07-14</t>
  </si>
  <si>
    <t>July</t>
  </si>
  <si>
    <t>North</t>
  </si>
  <si>
    <t>John Smith</t>
  </si>
  <si>
    <t>Desk Chair</t>
  </si>
  <si>
    <t>Furniture</t>
  </si>
  <si>
    <t>2025-07-22</t>
  </si>
  <si>
    <t>South</t>
  </si>
  <si>
    <t>Laptop</t>
  </si>
  <si>
    <t>Electronics</t>
  </si>
  <si>
    <t>2025-08-19</t>
  </si>
  <si>
    <t>August</t>
  </si>
  <si>
    <t>East</t>
  </si>
  <si>
    <t>2025-11-20</t>
  </si>
  <si>
    <t>November</t>
  </si>
  <si>
    <t>Daniel Lee</t>
  </si>
  <si>
    <t>2025-08-20</t>
  </si>
  <si>
    <t>Michael Brown</t>
  </si>
  <si>
    <t>Monitor</t>
  </si>
  <si>
    <t>2025-05-10</t>
  </si>
  <si>
    <t>May</t>
  </si>
  <si>
    <t>West</t>
  </si>
  <si>
    <t>2025-06-26</t>
  </si>
  <si>
    <t>June</t>
  </si>
  <si>
    <t>Tablet</t>
  </si>
  <si>
    <t>2025-01-25</t>
  </si>
  <si>
    <t>January</t>
  </si>
  <si>
    <t>2025-09-01</t>
  </si>
  <si>
    <t>September</t>
  </si>
  <si>
    <t>2025-03-11</t>
  </si>
  <si>
    <t>March</t>
  </si>
  <si>
    <t>Phone</t>
  </si>
  <si>
    <t>2025-11-07</t>
  </si>
  <si>
    <t>2025-12-21</t>
  </si>
  <si>
    <t>December</t>
  </si>
  <si>
    <t>2025-09-14</t>
  </si>
  <si>
    <t>2025-04-04</t>
  </si>
  <si>
    <t>April</t>
  </si>
  <si>
    <t>Sophia Wilson</t>
  </si>
  <si>
    <t>2025-11-29</t>
  </si>
  <si>
    <t>2025-03-22</t>
  </si>
  <si>
    <t>2025-09-20</t>
  </si>
  <si>
    <t>2025-09-08</t>
  </si>
  <si>
    <t>2025-08-13</t>
  </si>
  <si>
    <t>2025-04-23</t>
  </si>
  <si>
    <t>2025-10-12</t>
  </si>
  <si>
    <t>October</t>
  </si>
  <si>
    <t>2025-09-17</t>
  </si>
  <si>
    <t>2025-10-23</t>
  </si>
  <si>
    <t>Emily Davis</t>
  </si>
  <si>
    <t>2025-05-26</t>
  </si>
  <si>
    <t>Printer</t>
  </si>
  <si>
    <t>Office Supplies</t>
  </si>
  <si>
    <t>2025-04-15</t>
  </si>
  <si>
    <t>2025-04-12</t>
  </si>
  <si>
    <t>2025-07-04</t>
  </si>
  <si>
    <t>2025-08-10</t>
  </si>
  <si>
    <t>2025-07-17</t>
  </si>
  <si>
    <t>2025-04-01</t>
  </si>
  <si>
    <t>2025-06-19</t>
  </si>
  <si>
    <t>2025-01-14</t>
  </si>
  <si>
    <t>2025-07-24</t>
  </si>
  <si>
    <t>2025-04-21</t>
  </si>
  <si>
    <t>2025-07-16</t>
  </si>
  <si>
    <t>2025-05-13</t>
  </si>
  <si>
    <t>2025-06-11</t>
  </si>
  <si>
    <t>2025-05-11</t>
  </si>
  <si>
    <t>2025-06-13</t>
  </si>
  <si>
    <t>2025-09-12</t>
  </si>
  <si>
    <t>2025-04-16</t>
  </si>
  <si>
    <t>2025-03-28</t>
  </si>
  <si>
    <t>2025-04-19</t>
  </si>
  <si>
    <t>2025-04-30</t>
  </si>
  <si>
    <t>2025-02-18</t>
  </si>
  <si>
    <t>February</t>
  </si>
  <si>
    <t>2025-11-14</t>
  </si>
  <si>
    <t>2025-02-21</t>
  </si>
  <si>
    <t>2025-08-18</t>
  </si>
  <si>
    <t>2025-05-23</t>
  </si>
  <si>
    <t>2025-10-27</t>
  </si>
  <si>
    <t>2025-09-23</t>
  </si>
  <si>
    <t>2025-07-29</t>
  </si>
  <si>
    <t>2025-10-02</t>
  </si>
  <si>
    <t>2025-08-02</t>
  </si>
  <si>
    <t>2025-06-22</t>
  </si>
  <si>
    <t>2025-10-20</t>
  </si>
  <si>
    <t>2025-02-20</t>
  </si>
  <si>
    <t>2025-07-19</t>
  </si>
  <si>
    <t>2025-06-16</t>
  </si>
  <si>
    <t>2025-09-26</t>
  </si>
  <si>
    <t>2025-04-10</t>
  </si>
  <si>
    <t>2025-10-15</t>
  </si>
  <si>
    <t>2025-01-07</t>
  </si>
  <si>
    <t>2025-02-05</t>
  </si>
  <si>
    <t>2025-10-10</t>
  </si>
  <si>
    <t>2025-12-05</t>
  </si>
  <si>
    <t>2025-07-25</t>
  </si>
  <si>
    <t>2025-01-11</t>
  </si>
  <si>
    <t>2025-11-05</t>
  </si>
  <si>
    <t>2025-01-09</t>
  </si>
  <si>
    <t>2025-06-06</t>
  </si>
  <si>
    <t>2025-03-23</t>
  </si>
  <si>
    <t>2025-02-15</t>
  </si>
  <si>
    <t>2025-08-27</t>
  </si>
  <si>
    <t>2025-09-09</t>
  </si>
  <si>
    <t>2025-03-10</t>
  </si>
  <si>
    <t>2025-11-23</t>
  </si>
  <si>
    <t>2025-05-09</t>
  </si>
  <si>
    <t>2025-11-12</t>
  </si>
  <si>
    <t>2025-01-21</t>
  </si>
  <si>
    <t>2025-07-08</t>
  </si>
  <si>
    <t>2025-06-28</t>
  </si>
  <si>
    <t>2025-11-22</t>
  </si>
  <si>
    <t>2025-04-28</t>
  </si>
  <si>
    <t>2025-09-29</t>
  </si>
  <si>
    <t>2025-06-23</t>
  </si>
  <si>
    <t>2025-04-07</t>
  </si>
  <si>
    <t>2025-04-24</t>
  </si>
  <si>
    <t>2025-06-04</t>
  </si>
  <si>
    <t>2025-03-12</t>
  </si>
  <si>
    <t>2025-08-28</t>
  </si>
  <si>
    <t>2025-05-08</t>
  </si>
  <si>
    <t>2025-07-13</t>
  </si>
  <si>
    <t>2025-12-20</t>
  </si>
  <si>
    <t>2025-11-15</t>
  </si>
  <si>
    <t>2025-02-12</t>
  </si>
  <si>
    <t>2025-10-01</t>
  </si>
  <si>
    <t>2025-03-27</t>
  </si>
  <si>
    <t>2025-10-03</t>
  </si>
  <si>
    <t>2025-09-24</t>
  </si>
  <si>
    <t>2025-01-26</t>
  </si>
  <si>
    <t>2025-11-04</t>
  </si>
  <si>
    <t>2025-06-02</t>
  </si>
  <si>
    <t>2025-07-23</t>
  </si>
  <si>
    <t>2025-06-15</t>
  </si>
  <si>
    <t>2025-02-24</t>
  </si>
  <si>
    <t>2025-10-25</t>
  </si>
  <si>
    <t>2025-07-10</t>
  </si>
  <si>
    <t>2025-03-29</t>
  </si>
  <si>
    <t>2025-11-17</t>
  </si>
  <si>
    <t>2025-10-26</t>
  </si>
  <si>
    <t>2025-05-24</t>
  </si>
  <si>
    <t>2025-05-31</t>
  </si>
  <si>
    <t>2025-12-19</t>
  </si>
  <si>
    <t>2025-02-02</t>
  </si>
  <si>
    <t>2025-04-11</t>
  </si>
  <si>
    <t>2025-06-24</t>
  </si>
  <si>
    <t>2025-08-06</t>
  </si>
  <si>
    <t>2025-07-18</t>
  </si>
  <si>
    <t>2025-11-28</t>
  </si>
  <si>
    <t>2025-04-02</t>
  </si>
  <si>
    <t>2025-11-03</t>
  </si>
  <si>
    <t>2025-03-19</t>
  </si>
  <si>
    <t>2025-12-08</t>
  </si>
  <si>
    <t>2025-08-11</t>
  </si>
  <si>
    <t>2025-02-01</t>
  </si>
  <si>
    <t>2025-12-24</t>
  </si>
  <si>
    <t>2025-06-05</t>
  </si>
  <si>
    <t>2025-06-30</t>
  </si>
  <si>
    <t>2025-04-25</t>
  </si>
  <si>
    <t>2025-02-07</t>
  </si>
  <si>
    <t>2025-08-26</t>
  </si>
  <si>
    <t>2025-05-20</t>
  </si>
  <si>
    <t>2025-04-18</t>
  </si>
  <si>
    <t>2025-04-26</t>
  </si>
  <si>
    <t>2025-01-08</t>
  </si>
  <si>
    <t>2025-05-30</t>
  </si>
  <si>
    <t>2025-07-26</t>
  </si>
  <si>
    <t>2025-01-27</t>
  </si>
  <si>
    <t>2025-10-24</t>
  </si>
  <si>
    <t>2025-09-18</t>
  </si>
  <si>
    <t>2025-04-06</t>
  </si>
  <si>
    <t>2025-05-17</t>
  </si>
  <si>
    <t>2025-03-09</t>
  </si>
  <si>
    <t>2025-11-25</t>
  </si>
  <si>
    <t>2025-12-29</t>
  </si>
  <si>
    <t>2025-07-21</t>
  </si>
  <si>
    <t>2025-07-02</t>
  </si>
  <si>
    <t>2025-10-05</t>
  </si>
  <si>
    <t>2025-11-08</t>
  </si>
  <si>
    <t>2025-01-16</t>
  </si>
  <si>
    <t>2025-06-21</t>
  </si>
  <si>
    <t>2025-10-21</t>
  </si>
  <si>
    <t>2025-08-08</t>
  </si>
  <si>
    <t>2025-12-07</t>
  </si>
  <si>
    <t>2025-12-01</t>
  </si>
  <si>
    <t>2025-07-09</t>
  </si>
  <si>
    <t>2025-01-03</t>
  </si>
  <si>
    <t>2025-09-13</t>
  </si>
  <si>
    <t>2025-05-06</t>
  </si>
  <si>
    <t>2025-01-01</t>
  </si>
  <si>
    <t>2025-12-10</t>
  </si>
  <si>
    <t>2025-08-09</t>
  </si>
  <si>
    <t>2025-08-01</t>
  </si>
  <si>
    <t>2025-03-03</t>
  </si>
  <si>
    <t>2025-07-27</t>
  </si>
  <si>
    <t>2025-11-30</t>
  </si>
  <si>
    <t>2025-10-09</t>
  </si>
  <si>
    <t>2025-11-09</t>
  </si>
  <si>
    <t>2025-05-03</t>
  </si>
  <si>
    <t>2025-07-06</t>
  </si>
  <si>
    <t>2025-03-05</t>
  </si>
  <si>
    <t>2025-12-15</t>
  </si>
  <si>
    <t>2025-02-03</t>
  </si>
  <si>
    <t>2025-02-11</t>
  </si>
  <si>
    <t>2025-02-09</t>
  </si>
  <si>
    <t>2025-01-23</t>
  </si>
  <si>
    <t>2025-05-12</t>
  </si>
  <si>
    <t>2025-12-22</t>
  </si>
  <si>
    <t>2025-01-19</t>
  </si>
  <si>
    <t>2025-07-20</t>
  </si>
  <si>
    <t>2025-01-06</t>
  </si>
  <si>
    <t>2025-06-07</t>
  </si>
  <si>
    <t>2025-03-13</t>
  </si>
  <si>
    <t>2025-10-29</t>
  </si>
  <si>
    <t>2025-05-29</t>
  </si>
  <si>
    <t>2025-02-19</t>
  </si>
  <si>
    <t>2025-10-18</t>
  </si>
  <si>
    <t>2025-02-25</t>
  </si>
  <si>
    <t>2025-03-18</t>
  </si>
  <si>
    <t>2025-03-08</t>
  </si>
  <si>
    <t>2025-01-12</t>
  </si>
  <si>
    <t>2025-06-29</t>
  </si>
  <si>
    <t>2025-02-16</t>
  </si>
  <si>
    <t>2025-10-19</t>
  </si>
  <si>
    <t>2025-11-10</t>
  </si>
  <si>
    <t>2025-09-27</t>
  </si>
  <si>
    <t>2025-03-20</t>
  </si>
  <si>
    <t>2025-01-24</t>
  </si>
  <si>
    <t>2025-08-22</t>
  </si>
  <si>
    <t>2025-08-23</t>
  </si>
  <si>
    <t>2025-08-04</t>
  </si>
  <si>
    <t>2025-11-24</t>
  </si>
  <si>
    <t>2025-11-11</t>
  </si>
  <si>
    <t>2025-02-10</t>
  </si>
  <si>
    <t>2025-12-17</t>
  </si>
  <si>
    <t>2025-05-25</t>
  </si>
  <si>
    <t>2025-03-21</t>
  </si>
  <si>
    <t>2025-09-07</t>
  </si>
  <si>
    <t>2025-10-30</t>
  </si>
  <si>
    <t>2025-03-15</t>
  </si>
  <si>
    <t>2025-12-12</t>
  </si>
  <si>
    <t>2025-02-23</t>
  </si>
  <si>
    <t>2025-09-11</t>
  </si>
  <si>
    <t>2025-04-13</t>
  </si>
  <si>
    <t>2025-08-17</t>
  </si>
  <si>
    <t>2025-02-28</t>
  </si>
  <si>
    <t>2025-03-24</t>
  </si>
  <si>
    <t>2025-11-27</t>
  </si>
  <si>
    <t>2025-08-16</t>
  </si>
  <si>
    <t>2025-01-05</t>
  </si>
  <si>
    <t>2025-05-05</t>
  </si>
  <si>
    <t>2025-12-09</t>
  </si>
  <si>
    <t>2025-02-04</t>
  </si>
  <si>
    <t>2025-01-20</t>
  </si>
  <si>
    <t>2025-02-13</t>
  </si>
  <si>
    <t>2025-12-30</t>
  </si>
  <si>
    <t>2025-05-07</t>
  </si>
  <si>
    <t>2025-06-27</t>
  </si>
  <si>
    <t>2025-01-17</t>
  </si>
  <si>
    <t>2025-08-30</t>
  </si>
  <si>
    <t>2025-10-31</t>
  </si>
  <si>
    <t>2025-04-22</t>
  </si>
  <si>
    <t>2025-06-09</t>
  </si>
  <si>
    <t>2025-06-10</t>
  </si>
  <si>
    <t>2025-12-06</t>
  </si>
  <si>
    <t>2025-09-30</t>
  </si>
  <si>
    <t>2025-07-28</t>
  </si>
  <si>
    <t>2025-12-23</t>
  </si>
  <si>
    <t>2025-09-05</t>
  </si>
  <si>
    <t>2025-03-01</t>
  </si>
  <si>
    <t>2025-01-31</t>
  </si>
  <si>
    <t>2025-11-13</t>
  </si>
  <si>
    <t>2025-09-04</t>
  </si>
  <si>
    <t>2025-04-14</t>
  </si>
  <si>
    <t>2025-04-08</t>
  </si>
  <si>
    <t>2025-03-30</t>
  </si>
  <si>
    <t>2025-10-28</t>
  </si>
  <si>
    <t>2025-04-29</t>
  </si>
  <si>
    <t>2025-12-11</t>
  </si>
  <si>
    <t>2025-10-11</t>
  </si>
  <si>
    <t>2025-03-06</t>
  </si>
  <si>
    <t>2025-04-20</t>
  </si>
  <si>
    <t>2025-09-15</t>
  </si>
  <si>
    <t>2025-04-27</t>
  </si>
  <si>
    <t>2025-10-08</t>
  </si>
  <si>
    <t>2025-08-21</t>
  </si>
  <si>
    <t>2025-02-27</t>
  </si>
  <si>
    <t>2025-09-22</t>
  </si>
  <si>
    <t>2025-06-25</t>
  </si>
  <si>
    <t>2025-02-17</t>
  </si>
  <si>
    <t>2025-11-19</t>
  </si>
  <si>
    <t>2025-08-03</t>
  </si>
  <si>
    <t>2025-12-26</t>
  </si>
  <si>
    <t>2025-01-29</t>
  </si>
  <si>
    <t>2025-01-02</t>
  </si>
  <si>
    <t>2025-05-04</t>
  </si>
  <si>
    <t>2025-08-12</t>
  </si>
  <si>
    <t>2025-05-27</t>
  </si>
  <si>
    <t>2025-01-10</t>
  </si>
  <si>
    <t>2025-12-18</t>
  </si>
  <si>
    <t>2025-02-08</t>
  </si>
  <si>
    <t>2025-03-04</t>
  </si>
  <si>
    <t>2025-03-07</t>
  </si>
  <si>
    <t>2025-05-28</t>
  </si>
  <si>
    <t>2025-12-28</t>
  </si>
  <si>
    <t>2025-04-09</t>
  </si>
  <si>
    <t>2025-07-11</t>
  </si>
  <si>
    <t>2025-02-06</t>
  </si>
  <si>
    <t>2025-03-17</t>
  </si>
  <si>
    <t>2025-06-18</t>
  </si>
  <si>
    <t>2025-12-16</t>
  </si>
  <si>
    <t>2025-01-18</t>
  </si>
  <si>
    <t>2025-03-02</t>
  </si>
  <si>
    <t>2025-08-31</t>
  </si>
  <si>
    <t>2025-06-17</t>
  </si>
  <si>
    <t>2025-12-14</t>
  </si>
  <si>
    <t>2025-07-05</t>
  </si>
  <si>
    <t>2025-09-16</t>
  </si>
  <si>
    <t>2025-07-03</t>
  </si>
  <si>
    <t>2025-05-21</t>
  </si>
  <si>
    <t>2025-04-03</t>
  </si>
  <si>
    <t>2025-05-02</t>
  </si>
  <si>
    <t>2025-07-07</t>
  </si>
  <si>
    <t>2025-03-31</t>
  </si>
  <si>
    <t>2025-09-25</t>
  </si>
  <si>
    <t>2025-07-15</t>
  </si>
  <si>
    <t>2025-05-18</t>
  </si>
  <si>
    <t>2025-11-02</t>
  </si>
  <si>
    <t>2025-02-14</t>
  </si>
  <si>
    <t>2025-07-30</t>
  </si>
  <si>
    <t>2025-10-13</t>
  </si>
  <si>
    <t>2025-01-13</t>
  </si>
  <si>
    <t>2025-03-16</t>
  </si>
  <si>
    <t>2025-05-16</t>
  </si>
  <si>
    <t>2025-08-07</t>
  </si>
  <si>
    <t>2025-12-25</t>
  </si>
  <si>
    <t>2025-01-30</t>
  </si>
  <si>
    <t>2025-09-03</t>
  </si>
  <si>
    <t>2025-11-21</t>
  </si>
  <si>
    <t>2025-12-13</t>
  </si>
  <si>
    <t>2025-08-25</t>
  </si>
  <si>
    <t>2025-01-28</t>
  </si>
  <si>
    <t>2025-11-01</t>
  </si>
  <si>
    <t>2025-02-26</t>
  </si>
  <si>
    <t>2025-09-06</t>
  </si>
  <si>
    <t>2025-11-16</t>
  </si>
  <si>
    <t>2025-03-25</t>
  </si>
  <si>
    <t>2025-05-22</t>
  </si>
  <si>
    <t>2025-12-03</t>
  </si>
  <si>
    <t>2025-05-15</t>
  </si>
  <si>
    <t>2025-11-18</t>
  </si>
  <si>
    <t>2025-12-04</t>
  </si>
  <si>
    <t>2025-09-28</t>
  </si>
  <si>
    <t>2025-11-06</t>
  </si>
  <si>
    <t>2025-08-15</t>
  </si>
  <si>
    <t>2025-10-22</t>
  </si>
  <si>
    <t>2025-12-31</t>
  </si>
  <si>
    <t>2025-05-14</t>
  </si>
  <si>
    <t>2025-10-14</t>
  </si>
  <si>
    <t>2025-04-17</t>
  </si>
  <si>
    <t>2025-08-29</t>
  </si>
  <si>
    <t>2025-06-03</t>
  </si>
  <si>
    <t>2025-08-05</t>
  </si>
  <si>
    <t>2025-08-14</t>
  </si>
  <si>
    <t>2025-10-16</t>
  </si>
  <si>
    <t>2025-03-14</t>
  </si>
  <si>
    <t>2025-10-04</t>
  </si>
  <si>
    <t>2025-04-05</t>
  </si>
  <si>
    <t>2025-01-04</t>
  </si>
  <si>
    <t>2025-09-19</t>
  </si>
  <si>
    <t>2025-02-22</t>
  </si>
  <si>
    <t>Column Name</t>
  </si>
  <si>
    <t>Description</t>
  </si>
  <si>
    <t>Sales transaction date</t>
  </si>
  <si>
    <t>Month of transaction</t>
  </si>
  <si>
    <t>Year of transaction</t>
  </si>
  <si>
    <t>Sales region</t>
  </si>
  <si>
    <t>Name of salesperson</t>
  </si>
  <si>
    <t>Product sold</t>
  </si>
  <si>
    <t>Product category</t>
  </si>
  <si>
    <t>Number of units sold</t>
  </si>
  <si>
    <t>Total revenue generated</t>
  </si>
  <si>
    <t>Sales target assigned</t>
  </si>
  <si>
    <t>Profit earned from sale</t>
  </si>
  <si>
    <t>Profit Margin %</t>
  </si>
  <si>
    <t>Row Labels</t>
  </si>
  <si>
    <t>Grand Total</t>
  </si>
  <si>
    <t>Sum of Revenue ($)</t>
  </si>
  <si>
    <t>Sum of Profit ($)</t>
  </si>
  <si>
    <t>Sum of Target ($)</t>
  </si>
  <si>
    <t>Total Revenue</t>
  </si>
  <si>
    <t>Total Profit</t>
  </si>
  <si>
    <t>Total Target</t>
  </si>
  <si>
    <t>Target Achievement %</t>
  </si>
  <si>
    <t>Total units sold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</si>
</sst>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14009]yyyy/mm/dd;@"/>
    <numFmt numFmtId="165" formatCode="yyyy"/>
    <numFmt numFmtId="166" formatCode="0.0,,&quot;M&quot;"/>
    <numFmt numFmtId="167" formatCode="#,###.0,\k"/>
    <numFmt numFmtId="168" formatCode="[$$-409]#,##0"/>
  </numFmts>
  <fonts count="4" x14ac:knownFonts="1">
    <font>
      <sz val="11"/>
      <color theme="1"/>
      <name val="Calibri"/>
      <family val="2"/>
      <scheme val="minor"/>
    </font>
    <font>
      <b/>
      <sz val="11"/>
      <name val="Calibri"/>
    </font>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9" fontId="2" fillId="0" borderId="0" applyFont="0" applyFill="0" applyBorder="0" applyAlignment="0" applyProtection="0"/>
  </cellStyleXfs>
  <cellXfs count="13">
    <xf numFmtId="0" fontId="0" fillId="0" borderId="0" xfId="0"/>
    <xf numFmtId="0" fontId="1" fillId="0" borderId="0" xfId="0" applyFont="1"/>
    <xf numFmtId="0" fontId="3" fillId="0" borderId="0" xfId="0" applyFont="1"/>
    <xf numFmtId="9" fontId="0" fillId="0" borderId="0" xfId="1" applyFont="1"/>
    <xf numFmtId="164" fontId="1" fillId="0" borderId="0" xfId="0" applyNumberFormat="1" applyFont="1"/>
    <xf numFmtId="16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right"/>
    </xf>
    <xf numFmtId="166" fontId="0" fillId="0" borderId="0" xfId="0" applyNumberFormat="1" applyAlignment="1">
      <alignment horizontal="right"/>
    </xf>
    <xf numFmtId="9" fontId="0" fillId="0" borderId="0" xfId="1" applyFont="1" applyAlignment="1">
      <alignment horizontal="right"/>
    </xf>
    <xf numFmtId="167" fontId="0" fillId="0" borderId="0" xfId="0" applyNumberFormat="1" applyAlignment="1">
      <alignment horizontal="right"/>
    </xf>
    <xf numFmtId="168" fontId="0" fillId="0" borderId="0" xfId="0" applyNumberFormat="1"/>
  </cellXfs>
  <cellStyles count="2">
    <cellStyle name="Normal" xfId="0" builtinId="0"/>
    <cellStyle name="Percent" xfId="1" builtinId="5"/>
  </cellStyles>
  <dxfs count="6">
    <dxf>
      <numFmt numFmtId="168" formatCode="[$$-409]#,##0"/>
    </dxf>
    <dxf>
      <numFmt numFmtId="168" formatCode="[$$-409]#,##0"/>
    </dxf>
    <dxf>
      <numFmt numFmtId="168" formatCode="[$$-409]#,##0"/>
    </dxf>
    <dxf>
      <numFmt numFmtId="168" formatCode="[$$-409]#,##0"/>
    </dxf>
    <dxf>
      <numFmt numFmtId="168" formatCode="[$$-409]#,##0"/>
    </dxf>
    <dxf>
      <numFmt numFmtId="168" formatCode="[$$-409]#,##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[Sales_Performance_Dashboard_Dataset.xlsx]Pivot table!PivotTable3</c:name>
    <c:fmtId val="4"/>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200"/>
              <a:t>Monthly</a:t>
            </a:r>
            <a:r>
              <a:rPr lang="en-US" sz="1200" baseline="0"/>
              <a:t> Sales Trend</a:t>
            </a:r>
            <a:endParaRPr lang="en-US" sz="1200"/>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table'!$A$3:$A$15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table'!$B$3:$B$15</c:f>
              <c:numCache>
                <c:formatCode>[$$-409]#,##0</c:formatCode>
                <c:ptCount val="12"/>
                <c:pt idx="0">
                  <c:v>686026</c:v>
                </c:pt>
                <c:pt idx="1">
                  <c:v>620186</c:v>
                </c:pt>
                <c:pt idx="2">
                  <c:v>658327</c:v>
                </c:pt>
                <c:pt idx="3">
                  <c:v>722754</c:v>
                </c:pt>
                <c:pt idx="4">
                  <c:v>711550</c:v>
                </c:pt>
                <c:pt idx="5">
                  <c:v>584987</c:v>
                </c:pt>
                <c:pt idx="6">
                  <c:v>702348</c:v>
                </c:pt>
                <c:pt idx="7">
                  <c:v>740687</c:v>
                </c:pt>
                <c:pt idx="8">
                  <c:v>796124</c:v>
                </c:pt>
                <c:pt idx="9">
                  <c:v>825182</c:v>
                </c:pt>
                <c:pt idx="10">
                  <c:v>652889</c:v>
                </c:pt>
                <c:pt idx="11">
                  <c:v>655534</c:v>
                </c:pt>
              </c:numCache>
            </c:numRef>
          </c:val>
          <c:smooth val="0"/>
          <c:extLst>
            <c:ext xmlns:c16="http://schemas.microsoft.com/office/drawing/2014/chart" uri="{C3380CC4-5D6E-409C-BE32-E72D297353CC}">
              <c16:uniqueId val="{00000000-DF2C-4414-A526-6CA4395DB74A}"/>
            </c:ext>
          </c:extLst>
        </c:ser>
        <c:dLbls>
          <c:showLegendKey val="0"/>
          <c:showVal val="0"/>
          <c:showCatName val="0"/>
          <c:showSerName val="0"/>
          <c:showPercent val="0"/>
          <c:showBubbleSize val="0"/>
        </c:dLbls>
        <c:marker val="1"/>
        <c:smooth val="0"/>
        <c:axId val="1913330831"/>
        <c:axId val="1913330351"/>
      </c:lineChart>
      <c:catAx>
        <c:axId val="19133308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3330351"/>
        <c:crosses val="autoZero"/>
        <c:auto val="1"/>
        <c:lblAlgn val="ctr"/>
        <c:lblOffset val="100"/>
        <c:noMultiLvlLbl val="0"/>
      </c:catAx>
      <c:valAx>
        <c:axId val="1913330351"/>
        <c:scaling>
          <c:orientation val="minMax"/>
        </c:scaling>
        <c:delete val="0"/>
        <c:axPos val="l"/>
        <c:majorGridlines>
          <c:spPr>
            <a:ln w="9525" cap="flat" cmpd="sng" algn="ctr">
              <a:solidFill>
                <a:schemeClr val="tx1">
                  <a:lumMod val="15000"/>
                  <a:lumOff val="85000"/>
                </a:scheme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33308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[Sales_Performance_Dashboard_Dataset.xlsx]Pivot table!PivotTable4</c:name>
    <c:fmtId val="12"/>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200"/>
              <a:t>Regional</a:t>
            </a:r>
            <a:r>
              <a:rPr lang="en-US" sz="1200" baseline="0"/>
              <a:t> Performance</a:t>
            </a:r>
            <a:endParaRPr lang="en-US" sz="1200"/>
          </a:p>
        </c:rich>
      </c:tx>
      <c:layout>
        <c:manualLayout>
          <c:xMode val="edge"/>
          <c:yMode val="edge"/>
          <c:x val="0.21690386687911559"/>
          <c:y val="3.937007874015748E-2"/>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table'!$E$2</c:f>
              <c:strCache>
                <c:ptCount val="1"/>
                <c:pt idx="0">
                  <c:v>Total</c:v>
                </c:pt>
              </c:strCache>
            </c:strRef>
          </c:tx>
          <c:spPr>
            <a:solidFill>
              <a:schemeClr val="accent1"/>
            </a:solidFill>
            <a:ln>
              <a:noFill/>
            </a:ln>
            <a:effectLst/>
          </c:spPr>
          <c:invertIfNegative val="0"/>
          <c:cat>
            <c:strRef>
              <c:f>'Pivot table'!$D$3:$D$7</c:f>
              <c:strCache>
                <c:ptCount val="4"/>
                <c:pt idx="0">
                  <c:v>East</c:v>
                </c:pt>
                <c:pt idx="1">
                  <c:v>North</c:v>
                </c:pt>
                <c:pt idx="2">
                  <c:v>South</c:v>
                </c:pt>
                <c:pt idx="3">
                  <c:v>West</c:v>
                </c:pt>
              </c:strCache>
            </c:strRef>
          </c:cat>
          <c:val>
            <c:numRef>
              <c:f>'Pivot table'!$E$3:$E$7</c:f>
              <c:numCache>
                <c:formatCode>[$$-409]#,##0</c:formatCode>
                <c:ptCount val="4"/>
                <c:pt idx="0">
                  <c:v>2068876</c:v>
                </c:pt>
                <c:pt idx="1">
                  <c:v>1920727</c:v>
                </c:pt>
                <c:pt idx="2">
                  <c:v>2145730</c:v>
                </c:pt>
                <c:pt idx="3">
                  <c:v>2221261</c:v>
                </c:pt>
              </c:numCache>
            </c:numRef>
          </c:val>
          <c:extLst>
            <c:ext xmlns:c16="http://schemas.microsoft.com/office/drawing/2014/chart" uri="{C3380CC4-5D6E-409C-BE32-E72D297353CC}">
              <c16:uniqueId val="{00000000-80FA-456D-92A2-D223B75120B3}"/>
            </c:ext>
          </c:extLst>
        </c:ser>
        <c:dLbls>
          <c:showLegendKey val="0"/>
          <c:showVal val="0"/>
          <c:showCatName val="0"/>
          <c:showSerName val="0"/>
          <c:showPercent val="0"/>
          <c:showBubbleSize val="0"/>
        </c:dLbls>
        <c:gapWidth val="150"/>
        <c:axId val="2127408847"/>
        <c:axId val="2127415087"/>
      </c:barChart>
      <c:catAx>
        <c:axId val="212740884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7415087"/>
        <c:crosses val="autoZero"/>
        <c:auto val="1"/>
        <c:lblAlgn val="ctr"/>
        <c:lblOffset val="100"/>
        <c:noMultiLvlLbl val="0"/>
      </c:catAx>
      <c:valAx>
        <c:axId val="2127415087"/>
        <c:scaling>
          <c:orientation val="minMax"/>
        </c:scaling>
        <c:delete val="0"/>
        <c:axPos val="l"/>
        <c:majorGridlines>
          <c:spPr>
            <a:ln w="9525" cap="flat" cmpd="sng" algn="ctr">
              <a:solidFill>
                <a:schemeClr val="tx1">
                  <a:lumMod val="15000"/>
                  <a:lumOff val="85000"/>
                </a:scheme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74088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[Sales_Performance_Dashboard_Dataset.xlsx]Pivot table!PivotTable5</c:name>
    <c:fmtId val="30"/>
  </c:pivotSource>
  <c:chart>
    <c:title>
      <c:tx>
        <c:rich>
          <a:bodyPr rot="0" spcFirstLastPara="1" vertOverflow="ellipsis" vert="horz" wrap="square" anchor="ctr" anchorCtr="1"/>
          <a:lstStyle/>
          <a:p>
            <a:pPr algn="ctr" rtl="0">
              <a:defRPr lang="en-US" sz="1200" b="0" i="0" u="none" strike="noStrike" kern="1200" cap="all" spc="0" baseline="0">
                <a:solidFill>
                  <a:sysClr val="windowText" lastClr="000000">
                    <a:lumMod val="65000"/>
                    <a:lumOff val="35000"/>
                  </a:sysClr>
                </a:solidFill>
                <a:latin typeface="+mn-lt"/>
                <a:ea typeface="+mn-ea"/>
                <a:cs typeface="+mn-cs"/>
              </a:defRPr>
            </a:pPr>
            <a:r>
              <a:rPr lang="en-US" sz="1200" b="0" i="0" u="none" strike="noStrike" kern="1200" spc="0" baseline="0">
                <a:solidFill>
                  <a:sysClr val="windowText" lastClr="000000">
                    <a:lumMod val="65000"/>
                    <a:lumOff val="35000"/>
                  </a:sysClr>
                </a:solidFill>
                <a:latin typeface="+mn-lt"/>
                <a:ea typeface="+mn-ea"/>
                <a:cs typeface="+mn-cs"/>
              </a:rPr>
              <a:t>Category Contribution </a:t>
            </a:r>
          </a:p>
        </c:rich>
      </c:tx>
      <c:overlay val="0"/>
      <c:spPr>
        <a:noFill/>
        <a:ln>
          <a:noFill/>
        </a:ln>
        <a:effectLst/>
      </c:spPr>
      <c:txPr>
        <a:bodyPr rot="0" spcFirstLastPara="1" vertOverflow="ellipsis" vert="horz" wrap="square" anchor="ctr" anchorCtr="1"/>
        <a:lstStyle/>
        <a:p>
          <a:pPr algn="ctr" rtl="0">
            <a:defRPr lang="en-US" sz="1200" b="0" i="0" u="none" strike="noStrike" kern="1200" cap="all" spc="0" baseline="0">
              <a:solidFill>
                <a:sysClr val="windowText" lastClr="000000">
                  <a:lumMod val="65000"/>
                  <a:lumOff val="35000"/>
                </a:sys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barChart>
        <c:barDir val="bar"/>
        <c:grouping val="clustered"/>
        <c:varyColors val="0"/>
        <c:ser>
          <c:idx val="0"/>
          <c:order val="0"/>
          <c:tx>
            <c:strRef>
              <c:f>'Pivot table'!$B$18</c:f>
              <c:strCache>
                <c:ptCount val="1"/>
                <c:pt idx="0">
                  <c:v>Total</c:v>
                </c:pt>
              </c:strCache>
            </c:strRef>
          </c:tx>
          <c:spPr>
            <a:solidFill>
              <a:schemeClr val="accent1"/>
            </a:solidFill>
            <a:ln>
              <a:noFill/>
            </a:ln>
            <a:effectLst/>
            <a:scene3d>
              <a:camera prst="orthographicFront"/>
              <a:lightRig rig="brightRoom" dir="t"/>
            </a:scene3d>
            <a:sp3d prstMaterial="flat">
              <a:bevelT w="50800" h="101600" prst="angle"/>
              <a:contourClr>
                <a:srgbClr val="000000"/>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table'!$A$19:$A$22</c:f>
              <c:strCache>
                <c:ptCount val="3"/>
                <c:pt idx="0">
                  <c:v>Electronics</c:v>
                </c:pt>
                <c:pt idx="1">
                  <c:v>Furniture</c:v>
                </c:pt>
                <c:pt idx="2">
                  <c:v>Office Supplies</c:v>
                </c:pt>
              </c:strCache>
            </c:strRef>
          </c:cat>
          <c:val>
            <c:numRef>
              <c:f>'Pivot table'!$B$19:$B$22</c:f>
              <c:numCache>
                <c:formatCode>[$$-409]#,##0</c:formatCode>
                <c:ptCount val="3"/>
                <c:pt idx="0">
                  <c:v>5526312</c:v>
                </c:pt>
                <c:pt idx="1">
                  <c:v>1469606</c:v>
                </c:pt>
                <c:pt idx="2">
                  <c:v>1360676</c:v>
                </c:pt>
              </c:numCache>
            </c:numRef>
          </c:val>
          <c:extLst>
            <c:ext xmlns:c16="http://schemas.microsoft.com/office/drawing/2014/chart" uri="{C3380CC4-5D6E-409C-BE32-E72D297353CC}">
              <c16:uniqueId val="{00000006-0ABB-4922-8EE1-590ECF62627A}"/>
            </c:ext>
          </c:extLst>
        </c:ser>
        <c:dLbls>
          <c:showLegendKey val="0"/>
          <c:showVal val="0"/>
          <c:showCatName val="0"/>
          <c:showSerName val="0"/>
          <c:showPercent val="0"/>
          <c:showBubbleSize val="0"/>
        </c:dLbls>
        <c:gapWidth val="100"/>
        <c:axId val="1787724127"/>
        <c:axId val="1787727007"/>
      </c:barChart>
      <c:valAx>
        <c:axId val="1787727007"/>
        <c:scaling>
          <c:orientation val="minMax"/>
        </c:scaling>
        <c:delete val="0"/>
        <c:axPos val="b"/>
        <c:majorGridlines>
          <c:spPr>
            <a:ln w="9525" cap="flat" cmpd="sng" algn="ctr">
              <a:solidFill>
                <a:schemeClr val="tx1">
                  <a:lumMod val="15000"/>
                  <a:lumOff val="85000"/>
                </a:schemeClr>
              </a:solidFill>
              <a:round/>
            </a:ln>
            <a:effectLst/>
          </c:spPr>
        </c:majorGridlines>
        <c:numFmt formatCode="[$$-409]#,##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7724127"/>
        <c:crosses val="autoZero"/>
        <c:crossBetween val="between"/>
      </c:valAx>
      <c:catAx>
        <c:axId val="1787724127"/>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7727007"/>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[Sales_Performance_Dashboard_Dataset.xlsx]Pivot table!PivotTable6</c:name>
    <c:fmtId val="1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table'!$B$25</c:f>
              <c:strCache>
                <c:ptCount val="1"/>
                <c:pt idx="0">
                  <c:v>Sum of Revenue ($)</c:v>
                </c:pt>
              </c:strCache>
            </c:strRef>
          </c:tx>
          <c:spPr>
            <a:solidFill>
              <a:schemeClr val="accent1"/>
            </a:solidFill>
            <a:ln>
              <a:noFill/>
            </a:ln>
            <a:effectLst/>
          </c:spPr>
          <c:invertIfNegative val="0"/>
          <c:cat>
            <c:strRef>
              <c:f>'Pivot table'!$A$26:$A$31</c:f>
              <c:strCache>
                <c:ptCount val="5"/>
                <c:pt idx="0">
                  <c:v>Daniel Lee</c:v>
                </c:pt>
                <c:pt idx="1">
                  <c:v>Emily Davis</c:v>
                </c:pt>
                <c:pt idx="2">
                  <c:v>John Smith</c:v>
                </c:pt>
                <c:pt idx="3">
                  <c:v>Michael Brown</c:v>
                </c:pt>
                <c:pt idx="4">
                  <c:v>Sophia Wilson</c:v>
                </c:pt>
              </c:strCache>
            </c:strRef>
          </c:cat>
          <c:val>
            <c:numRef>
              <c:f>'Pivot table'!$B$26:$B$31</c:f>
              <c:numCache>
                <c:formatCode>[$$-409]#,##0</c:formatCode>
                <c:ptCount val="5"/>
                <c:pt idx="0">
                  <c:v>1780823</c:v>
                </c:pt>
                <c:pt idx="1">
                  <c:v>1675117</c:v>
                </c:pt>
                <c:pt idx="2">
                  <c:v>1481497</c:v>
                </c:pt>
                <c:pt idx="3">
                  <c:v>1669548</c:v>
                </c:pt>
                <c:pt idx="4">
                  <c:v>1749609</c:v>
                </c:pt>
              </c:numCache>
            </c:numRef>
          </c:val>
          <c:extLst>
            <c:ext xmlns:c16="http://schemas.microsoft.com/office/drawing/2014/chart" uri="{C3380CC4-5D6E-409C-BE32-E72D297353CC}">
              <c16:uniqueId val="{00000000-52C7-446C-974E-B7394A286B53}"/>
            </c:ext>
          </c:extLst>
        </c:ser>
        <c:ser>
          <c:idx val="1"/>
          <c:order val="1"/>
          <c:tx>
            <c:strRef>
              <c:f>'Pivot table'!$C$25</c:f>
              <c:strCache>
                <c:ptCount val="1"/>
                <c:pt idx="0">
                  <c:v>Sum of Target ($)</c:v>
                </c:pt>
              </c:strCache>
            </c:strRef>
          </c:tx>
          <c:spPr>
            <a:solidFill>
              <a:schemeClr val="accent2"/>
            </a:solidFill>
            <a:ln>
              <a:noFill/>
            </a:ln>
            <a:effectLst/>
          </c:spPr>
          <c:invertIfNegative val="0"/>
          <c:cat>
            <c:strRef>
              <c:f>'Pivot table'!$A$26:$A$31</c:f>
              <c:strCache>
                <c:ptCount val="5"/>
                <c:pt idx="0">
                  <c:v>Daniel Lee</c:v>
                </c:pt>
                <c:pt idx="1">
                  <c:v>Emily Davis</c:v>
                </c:pt>
                <c:pt idx="2">
                  <c:v>John Smith</c:v>
                </c:pt>
                <c:pt idx="3">
                  <c:v>Michael Brown</c:v>
                </c:pt>
                <c:pt idx="4">
                  <c:v>Sophia Wilson</c:v>
                </c:pt>
              </c:strCache>
            </c:strRef>
          </c:cat>
          <c:val>
            <c:numRef>
              <c:f>'Pivot table'!$C$26:$C$31</c:f>
              <c:numCache>
                <c:formatCode>[$$-409]#,##0</c:formatCode>
                <c:ptCount val="5"/>
                <c:pt idx="0">
                  <c:v>2613681</c:v>
                </c:pt>
                <c:pt idx="1">
                  <c:v>2467171</c:v>
                </c:pt>
                <c:pt idx="2">
                  <c:v>2249648</c:v>
                </c:pt>
                <c:pt idx="3">
                  <c:v>2469090</c:v>
                </c:pt>
                <c:pt idx="4">
                  <c:v>2766916</c:v>
                </c:pt>
              </c:numCache>
            </c:numRef>
          </c:val>
          <c:extLst>
            <c:ext xmlns:c16="http://schemas.microsoft.com/office/drawing/2014/chart" uri="{C3380CC4-5D6E-409C-BE32-E72D297353CC}">
              <c16:uniqueId val="{00000001-52C7-446C-974E-B7394A286B53}"/>
            </c:ext>
          </c:extLst>
        </c:ser>
        <c:ser>
          <c:idx val="2"/>
          <c:order val="2"/>
          <c:tx>
            <c:strRef>
              <c:f>'Pivot table'!$D$25</c:f>
              <c:strCache>
                <c:ptCount val="1"/>
                <c:pt idx="0">
                  <c:v>Sum of Profit ($)</c:v>
                </c:pt>
              </c:strCache>
            </c:strRef>
          </c:tx>
          <c:spPr>
            <a:solidFill>
              <a:schemeClr val="accent3"/>
            </a:solidFill>
            <a:ln>
              <a:noFill/>
            </a:ln>
            <a:effectLst/>
          </c:spPr>
          <c:invertIfNegative val="0"/>
          <c:cat>
            <c:strRef>
              <c:f>'Pivot table'!$A$26:$A$31</c:f>
              <c:strCache>
                <c:ptCount val="5"/>
                <c:pt idx="0">
                  <c:v>Daniel Lee</c:v>
                </c:pt>
                <c:pt idx="1">
                  <c:v>Emily Davis</c:v>
                </c:pt>
                <c:pt idx="2">
                  <c:v>John Smith</c:v>
                </c:pt>
                <c:pt idx="3">
                  <c:v>Michael Brown</c:v>
                </c:pt>
                <c:pt idx="4">
                  <c:v>Sophia Wilson</c:v>
                </c:pt>
              </c:strCache>
            </c:strRef>
          </c:cat>
          <c:val>
            <c:numRef>
              <c:f>'Pivot table'!$D$26:$D$31</c:f>
              <c:numCache>
                <c:formatCode>[$$-409]#,##0</c:formatCode>
                <c:ptCount val="5"/>
                <c:pt idx="0">
                  <c:v>344318.74999999983</c:v>
                </c:pt>
                <c:pt idx="1">
                  <c:v>342537.71</c:v>
                </c:pt>
                <c:pt idx="2">
                  <c:v>300462.51000000007</c:v>
                </c:pt>
                <c:pt idx="3">
                  <c:v>343497.41</c:v>
                </c:pt>
                <c:pt idx="4">
                  <c:v>341254.95999999979</c:v>
                </c:pt>
              </c:numCache>
            </c:numRef>
          </c:val>
          <c:extLst>
            <c:ext xmlns:c16="http://schemas.microsoft.com/office/drawing/2014/chart" uri="{C3380CC4-5D6E-409C-BE32-E72D297353CC}">
              <c16:uniqueId val="{00000002-52C7-446C-974E-B7394A286B53}"/>
            </c:ext>
          </c:extLst>
        </c:ser>
        <c:dLbls>
          <c:showLegendKey val="0"/>
          <c:showVal val="0"/>
          <c:showCatName val="0"/>
          <c:showSerName val="0"/>
          <c:showPercent val="0"/>
          <c:showBubbleSize val="0"/>
        </c:dLbls>
        <c:gapWidth val="182"/>
        <c:axId val="81601535"/>
        <c:axId val="81598655"/>
      </c:barChart>
      <c:catAx>
        <c:axId val="816015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598655"/>
        <c:crosses val="autoZero"/>
        <c:auto val="1"/>
        <c:lblAlgn val="ctr"/>
        <c:lblOffset val="100"/>
        <c:noMultiLvlLbl val="0"/>
      </c:catAx>
      <c:valAx>
        <c:axId val="81598655"/>
        <c:scaling>
          <c:orientation val="minMax"/>
        </c:scaling>
        <c:delete val="0"/>
        <c:axPos val="b"/>
        <c:majorGridlines>
          <c:spPr>
            <a:ln w="9525" cap="flat" cmpd="sng" algn="ctr">
              <a:solidFill>
                <a:schemeClr val="tx1">
                  <a:lumMod val="15000"/>
                  <a:lumOff val="85000"/>
                </a:scheme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601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[Sales_Performance_Dashboard_Dataset.xlsx]Pivot table!PivotTable7</c:name>
    <c:fmtId val="8"/>
  </c:pivotSource>
  <c:chart>
    <c:title>
      <c:tx>
        <c:rich>
          <a:bodyPr rot="0" spcFirstLastPara="1" vertOverflow="ellipsis" vert="horz" wrap="square" anchor="ctr" anchorCtr="1"/>
          <a:lstStyle/>
          <a:p>
            <a:pPr algn="ctr" rtl="0">
              <a:defRPr lang="en-US" sz="1200" b="0" i="0" u="none" strike="noStrike" kern="1200" spc="0" baseline="0">
                <a:solidFill>
                  <a:sysClr val="windowText" lastClr="000000">
                    <a:lumMod val="65000"/>
                    <a:lumOff val="35000"/>
                  </a:sysClr>
                </a:solidFill>
                <a:latin typeface="+mn-lt"/>
                <a:ea typeface="+mn-ea"/>
                <a:cs typeface="+mn-cs"/>
              </a:defRPr>
            </a:pPr>
            <a:r>
              <a:rPr lang="en-US" sz="1200" b="0" i="0" u="none" strike="noStrike" kern="1200" spc="0" baseline="0">
                <a:solidFill>
                  <a:sysClr val="windowText" lastClr="000000">
                    <a:lumMod val="65000"/>
                    <a:lumOff val="35000"/>
                  </a:sysClr>
                </a:solidFill>
                <a:latin typeface="+mn-lt"/>
                <a:ea typeface="+mn-ea"/>
                <a:cs typeface="+mn-cs"/>
              </a:rPr>
              <a:t>Monthly Profit Trend</a:t>
            </a:r>
          </a:p>
          <a:p>
            <a:pPr algn="ctr" rtl="0">
              <a:defRPr lang="en-US" sz="1200">
                <a:solidFill>
                  <a:sysClr val="windowText" lastClr="000000">
                    <a:lumMod val="65000"/>
                    <a:lumOff val="35000"/>
                  </a:sysClr>
                </a:solidFill>
              </a:defRPr>
            </a:pPr>
            <a:endParaRPr lang="en-US" sz="1200" b="0" i="0" u="none" strike="noStrike" kern="1200" spc="0" baseline="0">
              <a:solidFill>
                <a:sysClr val="windowText" lastClr="000000">
                  <a:lumMod val="65000"/>
                  <a:lumOff val="35000"/>
                </a:sysClr>
              </a:solidFill>
              <a:latin typeface="+mn-lt"/>
              <a:ea typeface="+mn-ea"/>
              <a:cs typeface="+mn-cs"/>
            </a:endParaRPr>
          </a:p>
        </c:rich>
      </c:tx>
      <c:overlay val="0"/>
      <c:spPr>
        <a:noFill/>
        <a:ln>
          <a:noFill/>
        </a:ln>
        <a:effectLst/>
      </c:spPr>
      <c:txPr>
        <a:bodyPr rot="0" spcFirstLastPara="1" vertOverflow="ellipsis" vert="horz" wrap="square" anchor="ctr" anchorCtr="1"/>
        <a:lstStyle/>
        <a:p>
          <a:pPr algn="ctr" rtl="0">
            <a:defRPr lang="en-US" sz="12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table'!$B$34</c:f>
              <c:strCache>
                <c:ptCount val="1"/>
                <c:pt idx="0">
                  <c:v>Total</c:v>
                </c:pt>
              </c:strCache>
            </c:strRef>
          </c:tx>
          <c:spPr>
            <a:solidFill>
              <a:schemeClr val="accent1"/>
            </a:solidFill>
            <a:ln>
              <a:noFill/>
            </a:ln>
            <a:effectLst/>
          </c:spPr>
          <c:cat>
            <c:strRef>
              <c:f>'Pivot table'!$A$35:$A$47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table'!$B$35:$B$47</c:f>
              <c:numCache>
                <c:formatCode>[$$-409]#,##0</c:formatCode>
                <c:ptCount val="12"/>
                <c:pt idx="0">
                  <c:v>132869.37999999992</c:v>
                </c:pt>
                <c:pt idx="1">
                  <c:v>128737.07999999996</c:v>
                </c:pt>
                <c:pt idx="2">
                  <c:v>125595.58000000007</c:v>
                </c:pt>
                <c:pt idx="3">
                  <c:v>144327.70000000001</c:v>
                </c:pt>
                <c:pt idx="4">
                  <c:v>156635.37999999998</c:v>
                </c:pt>
                <c:pt idx="5">
                  <c:v>127647.16000000002</c:v>
                </c:pt>
                <c:pt idx="6">
                  <c:v>140603.94</c:v>
                </c:pt>
                <c:pt idx="7">
                  <c:v>147574.27999999997</c:v>
                </c:pt>
                <c:pt idx="8">
                  <c:v>149449.99999999991</c:v>
                </c:pt>
                <c:pt idx="9">
                  <c:v>155110.62999999998</c:v>
                </c:pt>
                <c:pt idx="10">
                  <c:v>132322.85999999996</c:v>
                </c:pt>
                <c:pt idx="11">
                  <c:v>131197.34999999998</c:v>
                </c:pt>
              </c:numCache>
            </c:numRef>
          </c:val>
          <c:extLst>
            <c:ext xmlns:c16="http://schemas.microsoft.com/office/drawing/2014/chart" uri="{C3380CC4-5D6E-409C-BE32-E72D297353CC}">
              <c16:uniqueId val="{00000000-DE02-442E-B747-DA8FFFC1E886}"/>
            </c:ext>
          </c:extLst>
        </c:ser>
        <c:dLbls>
          <c:showLegendKey val="0"/>
          <c:showVal val="0"/>
          <c:showCatName val="0"/>
          <c:showSerName val="0"/>
          <c:showPercent val="0"/>
          <c:showBubbleSize val="0"/>
        </c:dLbls>
        <c:axId val="2133401471"/>
        <c:axId val="2133403871"/>
      </c:areaChart>
      <c:catAx>
        <c:axId val="213340147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3403871"/>
        <c:crosses val="autoZero"/>
        <c:auto val="1"/>
        <c:lblAlgn val="ctr"/>
        <c:lblOffset val="100"/>
        <c:noMultiLvlLbl val="0"/>
      </c:catAx>
      <c:valAx>
        <c:axId val="2133403871"/>
        <c:scaling>
          <c:orientation val="minMax"/>
        </c:scaling>
        <c:delete val="0"/>
        <c:axPos val="l"/>
        <c:majorGridlines>
          <c:spPr>
            <a:ln w="9525" cap="flat" cmpd="sng" algn="ctr">
              <a:solidFill>
                <a:schemeClr val="tx1">
                  <a:lumMod val="15000"/>
                  <a:lumOff val="85000"/>
                </a:scheme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3401471"/>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53340</xdr:colOff>
      <xdr:row>0</xdr:row>
      <xdr:rowOff>0</xdr:rowOff>
    </xdr:from>
    <xdr:to>
      <xdr:col>26</xdr:col>
      <xdr:colOff>30480</xdr:colOff>
      <xdr:row>47</xdr:row>
      <xdr:rowOff>0</xdr:rowOff>
    </xdr:to>
    <xdr:sp macro="" textlink="">
      <xdr:nvSpPr>
        <xdr:cNvPr id="3" name="Rectangle 2">
          <a:extLst>
            <a:ext uri="{FF2B5EF4-FFF2-40B4-BE49-F238E27FC236}">
              <a16:creationId xmlns:a16="http://schemas.microsoft.com/office/drawing/2014/main" id="{C60BE1D2-E703-C5BC-29A9-BD5F6AA29C69}"/>
            </a:ext>
          </a:extLst>
        </xdr:cNvPr>
        <xdr:cNvSpPr/>
      </xdr:nvSpPr>
      <xdr:spPr>
        <a:xfrm>
          <a:off x="1562100" y="0"/>
          <a:ext cx="13997940" cy="859536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b="0" i="0" u="none" strike="noStrike">
            <a:solidFill>
              <a:srgbClr val="000000"/>
            </a:solidFill>
            <a:effectLst>
              <a:outerShdw blurRad="50800" dist="38100" dir="2700000" algn="tl" rotWithShape="0">
                <a:prstClr val="black">
                  <a:alpha val="40000"/>
                </a:prstClr>
              </a:outerShdw>
            </a:effectLst>
            <a:latin typeface="Calibri"/>
            <a:ea typeface="Calibri"/>
            <a:cs typeface="Calibri"/>
          </a:endParaRPr>
        </a:p>
      </xdr:txBody>
    </xdr:sp>
    <xdr:clientData/>
  </xdr:twoCellAnchor>
  <xdr:twoCellAnchor>
    <xdr:from>
      <xdr:col>0</xdr:col>
      <xdr:colOff>0</xdr:colOff>
      <xdr:row>0</xdr:row>
      <xdr:rowOff>0</xdr:rowOff>
    </xdr:from>
    <xdr:to>
      <xdr:col>3</xdr:col>
      <xdr:colOff>99060</xdr:colOff>
      <xdr:row>46</xdr:row>
      <xdr:rowOff>152401</xdr:rowOff>
    </xdr:to>
    <xdr:sp macro="" textlink="">
      <xdr:nvSpPr>
        <xdr:cNvPr id="2" name="Rectangle 1">
          <a:extLst>
            <a:ext uri="{FF2B5EF4-FFF2-40B4-BE49-F238E27FC236}">
              <a16:creationId xmlns:a16="http://schemas.microsoft.com/office/drawing/2014/main" id="{402595EC-B507-E942-2A64-AEC5A1F31632}"/>
            </a:ext>
          </a:extLst>
        </xdr:cNvPr>
        <xdr:cNvSpPr/>
      </xdr:nvSpPr>
      <xdr:spPr>
        <a:xfrm>
          <a:off x="0" y="0"/>
          <a:ext cx="1607820" cy="8564881"/>
        </a:xfrm>
        <a:prstGeom prst="rect">
          <a:avLst/>
        </a:prstGeom>
        <a:solidFill>
          <a:srgbClr val="002060"/>
        </a:solidFill>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solidFill>
                <a:schemeClr val="bg1"/>
              </a:solidFill>
              <a:latin typeface="+mn-lt"/>
              <a:ea typeface="+mn-ea"/>
              <a:cs typeface="+mn-cs"/>
            </a:rPr>
            <a:t>       </a:t>
          </a:r>
          <a:r>
            <a:rPr lang="en-IN" sz="800">
              <a:solidFill>
                <a:schemeClr val="bg1"/>
              </a:solidFill>
              <a:latin typeface="+mn-lt"/>
              <a:ea typeface="+mn-ea"/>
              <a:cs typeface="+mn-cs"/>
            </a:rPr>
            <a:t>💰 </a:t>
          </a:r>
          <a:r>
            <a:rPr lang="en-IN" sz="1100">
              <a:solidFill>
                <a:schemeClr val="bg1"/>
              </a:solidFill>
              <a:latin typeface="+mn-lt"/>
              <a:ea typeface="+mn-ea"/>
              <a:cs typeface="+mn-cs"/>
            </a:rPr>
            <a:t>Total</a:t>
          </a:r>
          <a:r>
            <a:rPr lang="en-IN" sz="800">
              <a:solidFill>
                <a:schemeClr val="bg1"/>
              </a:solidFill>
              <a:latin typeface="+mn-lt"/>
              <a:ea typeface="+mn-ea"/>
              <a:cs typeface="+mn-cs"/>
            </a:rPr>
            <a:t> </a:t>
          </a:r>
          <a:r>
            <a:rPr lang="en-IN" sz="1100">
              <a:solidFill>
                <a:schemeClr val="bg1"/>
              </a:solidFill>
              <a:latin typeface="+mn-lt"/>
              <a:ea typeface="+mn-ea"/>
              <a:cs typeface="+mn-cs"/>
            </a:rPr>
            <a:t>Revenue</a:t>
          </a:r>
        </a:p>
      </xdr:txBody>
    </xdr:sp>
    <xdr:clientData/>
  </xdr:twoCellAnchor>
  <xdr:twoCellAnchor>
    <xdr:from>
      <xdr:col>1</xdr:col>
      <xdr:colOff>228600</xdr:colOff>
      <xdr:row>4</xdr:row>
      <xdr:rowOff>91440</xdr:rowOff>
    </xdr:from>
    <xdr:to>
      <xdr:col>3</xdr:col>
      <xdr:colOff>53340</xdr:colOff>
      <xdr:row>8</xdr:row>
      <xdr:rowOff>0</xdr:rowOff>
    </xdr:to>
    <xdr:sp macro="" textlink="SalesData!N8">
      <xdr:nvSpPr>
        <xdr:cNvPr id="4" name="Rectangle 3">
          <a:extLst>
            <a:ext uri="{FF2B5EF4-FFF2-40B4-BE49-F238E27FC236}">
              <a16:creationId xmlns:a16="http://schemas.microsoft.com/office/drawing/2014/main" id="{B60874AA-3659-4576-565C-7EFDED600BEB}"/>
            </a:ext>
          </a:extLst>
        </xdr:cNvPr>
        <xdr:cNvSpPr/>
      </xdr:nvSpPr>
      <xdr:spPr>
        <a:xfrm>
          <a:off x="419100" y="822960"/>
          <a:ext cx="1143000" cy="6400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1400" b="0" i="0" u="none" strike="noStrike">
              <a:gradFill>
                <a:gsLst>
                  <a:gs pos="0">
                    <a:schemeClr val="bg1"/>
                  </a:gs>
                  <a:gs pos="83000">
                    <a:schemeClr val="bg1">
                      <a:lumMod val="65000"/>
                    </a:schemeClr>
                  </a:gs>
                </a:gsLst>
                <a:lin ang="5400000" scaled="1"/>
              </a:gradFill>
              <a:effectLst>
                <a:outerShdw blurRad="50800" dist="38100" dir="2700000" algn="tl" rotWithShape="0">
                  <a:prstClr val="black">
                    <a:alpha val="40000"/>
                  </a:prstClr>
                </a:outerShdw>
              </a:effectLst>
              <a:latin typeface="Arial Black" panose="020B0A04020102020204" pitchFamily="34" charset="0"/>
              <a:ea typeface="Calibri"/>
              <a:cs typeface="Calibri"/>
            </a:rPr>
            <a:t>$</a:t>
          </a:r>
          <a:fld id="{093E818B-0520-400D-B733-535A7EB8316B}" type="TxLink">
            <a:rPr lang="en-US" sz="1400" b="0" i="0" u="none" strike="noStrike">
              <a:gradFill>
                <a:gsLst>
                  <a:gs pos="0">
                    <a:schemeClr val="bg1"/>
                  </a:gs>
                  <a:gs pos="83000">
                    <a:schemeClr val="bg1">
                      <a:lumMod val="65000"/>
                    </a:schemeClr>
                  </a:gs>
                </a:gsLst>
                <a:lin ang="5400000" scaled="1"/>
              </a:gradFill>
              <a:effectLst>
                <a:outerShdw blurRad="50800" dist="38100" dir="2700000" algn="tl" rotWithShape="0">
                  <a:prstClr val="black">
                    <a:alpha val="40000"/>
                  </a:prstClr>
                </a:outerShdw>
              </a:effectLst>
              <a:latin typeface="Arial Black" panose="020B0A04020102020204" pitchFamily="34" charset="0"/>
              <a:ea typeface="Calibri"/>
              <a:cs typeface="Calibri"/>
            </a:rPr>
            <a:pPr marL="0" indent="0" algn="l"/>
            <a:t>1.7M</a:t>
          </a:fld>
          <a:endParaRPr lang="en-IN" sz="1400" b="0" i="0" u="none" strike="noStrike">
            <a:gradFill>
              <a:gsLst>
                <a:gs pos="0">
                  <a:schemeClr val="bg1"/>
                </a:gs>
                <a:gs pos="83000">
                  <a:schemeClr val="bg1">
                    <a:lumMod val="65000"/>
                  </a:schemeClr>
                </a:gs>
              </a:gsLst>
              <a:lin ang="5400000" scaled="1"/>
            </a:gradFill>
            <a:effectLst>
              <a:outerShdw blurRad="50800" dist="38100" dir="2700000" algn="tl" rotWithShape="0">
                <a:prstClr val="black">
                  <a:alpha val="40000"/>
                </a:prstClr>
              </a:outerShdw>
            </a:effectLst>
            <a:latin typeface="Arial Black" panose="020B0A04020102020204" pitchFamily="34" charset="0"/>
            <a:ea typeface="Calibri"/>
            <a:cs typeface="Calibri"/>
          </a:endParaRPr>
        </a:p>
      </xdr:txBody>
    </xdr:sp>
    <xdr:clientData/>
  </xdr:twoCellAnchor>
  <xdr:twoCellAnchor>
    <xdr:from>
      <xdr:col>1</xdr:col>
      <xdr:colOff>152400</xdr:colOff>
      <xdr:row>7</xdr:row>
      <xdr:rowOff>152400</xdr:rowOff>
    </xdr:from>
    <xdr:to>
      <xdr:col>2</xdr:col>
      <xdr:colOff>251460</xdr:colOff>
      <xdr:row>11</xdr:row>
      <xdr:rowOff>60960</xdr:rowOff>
    </xdr:to>
    <xdr:sp macro="" textlink="SalesData!N11">
      <xdr:nvSpPr>
        <xdr:cNvPr id="5" name="Rectangle 4">
          <a:extLst>
            <a:ext uri="{FF2B5EF4-FFF2-40B4-BE49-F238E27FC236}">
              <a16:creationId xmlns:a16="http://schemas.microsoft.com/office/drawing/2014/main" id="{B44BC7E2-F31D-4C68-ABE1-E100D1D0116F}"/>
            </a:ext>
          </a:extLst>
        </xdr:cNvPr>
        <xdr:cNvSpPr/>
      </xdr:nvSpPr>
      <xdr:spPr>
        <a:xfrm>
          <a:off x="342900" y="1432560"/>
          <a:ext cx="1143000" cy="6400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1400" b="0" i="0" u="none" strike="noStrike">
              <a:gradFill>
                <a:gsLst>
                  <a:gs pos="0">
                    <a:schemeClr val="bg1"/>
                  </a:gs>
                  <a:gs pos="83000">
                    <a:schemeClr val="bg1">
                      <a:lumMod val="65000"/>
                    </a:schemeClr>
                  </a:gs>
                </a:gsLst>
                <a:lin ang="5400000" scaled="1"/>
              </a:gradFill>
              <a:effectLst>
                <a:outerShdw blurRad="50800" dist="38100" dir="2700000" algn="tl" rotWithShape="0">
                  <a:prstClr val="black">
                    <a:alpha val="40000"/>
                  </a:prstClr>
                </a:outerShdw>
              </a:effectLst>
              <a:latin typeface="Arial Black" panose="020B0A04020102020204" pitchFamily="34" charset="0"/>
              <a:ea typeface="Calibri"/>
              <a:cs typeface="Calibri"/>
            </a:rPr>
            <a:t>$</a:t>
          </a:r>
          <a:fld id="{F3E990D6-EE4C-437E-AFC0-CB52AA443E98}" type="TxLink">
            <a:rPr lang="en-US" sz="1400" b="0" i="0" u="none" strike="noStrike">
              <a:gradFill>
                <a:gsLst>
                  <a:gs pos="0">
                    <a:schemeClr val="bg1"/>
                  </a:gs>
                  <a:gs pos="83000">
                    <a:schemeClr val="bg1">
                      <a:lumMod val="65000"/>
                    </a:schemeClr>
                  </a:gs>
                </a:gsLst>
                <a:lin ang="5400000" scaled="1"/>
              </a:gradFill>
              <a:effectLst>
                <a:outerShdw blurRad="50800" dist="38100" dir="2700000" algn="tl" rotWithShape="0">
                  <a:prstClr val="black">
                    <a:alpha val="40000"/>
                  </a:prstClr>
                </a:outerShdw>
              </a:effectLst>
              <a:latin typeface="Arial Black" panose="020B0A04020102020204" pitchFamily="34" charset="0"/>
              <a:ea typeface="Calibri"/>
              <a:cs typeface="Calibri"/>
            </a:rPr>
            <a:pPr marL="0" indent="0" algn="l"/>
            <a:t>12.6M</a:t>
          </a:fld>
          <a:endParaRPr lang="en-IN" sz="1400" b="0" i="0" u="none" strike="noStrike">
            <a:gradFill>
              <a:gsLst>
                <a:gs pos="0">
                  <a:schemeClr val="bg1"/>
                </a:gs>
                <a:gs pos="83000">
                  <a:schemeClr val="bg1">
                    <a:lumMod val="65000"/>
                  </a:schemeClr>
                </a:gs>
              </a:gsLst>
              <a:lin ang="5400000" scaled="1"/>
            </a:gradFill>
            <a:effectLst>
              <a:outerShdw blurRad="50800" dist="38100" dir="2700000" algn="tl" rotWithShape="0">
                <a:prstClr val="black">
                  <a:alpha val="40000"/>
                </a:prstClr>
              </a:outerShdw>
            </a:effectLst>
            <a:latin typeface="Arial Black" panose="020B0A04020102020204" pitchFamily="34" charset="0"/>
            <a:ea typeface="Calibri"/>
            <a:cs typeface="Calibri"/>
          </a:endParaRPr>
        </a:p>
      </xdr:txBody>
    </xdr:sp>
    <xdr:clientData/>
  </xdr:twoCellAnchor>
  <xdr:twoCellAnchor>
    <xdr:from>
      <xdr:col>1</xdr:col>
      <xdr:colOff>259080</xdr:colOff>
      <xdr:row>11</xdr:row>
      <xdr:rowOff>0</xdr:rowOff>
    </xdr:from>
    <xdr:to>
      <xdr:col>3</xdr:col>
      <xdr:colOff>83820</xdr:colOff>
      <xdr:row>14</xdr:row>
      <xdr:rowOff>91440</xdr:rowOff>
    </xdr:to>
    <xdr:sp macro="" textlink="SalesData!N14">
      <xdr:nvSpPr>
        <xdr:cNvPr id="6" name="Rectangle 5">
          <a:extLst>
            <a:ext uri="{FF2B5EF4-FFF2-40B4-BE49-F238E27FC236}">
              <a16:creationId xmlns:a16="http://schemas.microsoft.com/office/drawing/2014/main" id="{4184C7A5-8E91-479A-B123-ACD6BE3F4A12}"/>
            </a:ext>
          </a:extLst>
        </xdr:cNvPr>
        <xdr:cNvSpPr/>
      </xdr:nvSpPr>
      <xdr:spPr>
        <a:xfrm>
          <a:off x="449580" y="2011680"/>
          <a:ext cx="1143000" cy="6400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fld id="{FA951F25-44D6-4327-9961-1EF389C19892}" type="TxLink">
            <a:rPr lang="en-US" sz="1400" b="0" i="0" u="none" strike="noStrike">
              <a:gradFill>
                <a:gsLst>
                  <a:gs pos="0">
                    <a:schemeClr val="bg1"/>
                  </a:gs>
                  <a:gs pos="83000">
                    <a:schemeClr val="bg1">
                      <a:lumMod val="65000"/>
                    </a:schemeClr>
                  </a:gs>
                </a:gsLst>
                <a:lin ang="5400000" scaled="1"/>
              </a:gradFill>
              <a:effectLst>
                <a:outerShdw blurRad="50800" dist="38100" dir="2700000" algn="tl" rotWithShape="0">
                  <a:prstClr val="black">
                    <a:alpha val="40000"/>
                  </a:prstClr>
                </a:outerShdw>
              </a:effectLst>
              <a:latin typeface="Arial Black" panose="020B0A04020102020204" pitchFamily="34" charset="0"/>
              <a:ea typeface="Calibri"/>
              <a:cs typeface="Calibri"/>
            </a:rPr>
            <a:pPr marL="0" indent="0" algn="l"/>
            <a:t>66%</a:t>
          </a:fld>
          <a:endParaRPr lang="en-IN" sz="1400" b="0" i="0" u="none" strike="noStrike">
            <a:gradFill>
              <a:gsLst>
                <a:gs pos="0">
                  <a:schemeClr val="bg1"/>
                </a:gs>
                <a:gs pos="83000">
                  <a:schemeClr val="bg1">
                    <a:lumMod val="65000"/>
                  </a:schemeClr>
                </a:gs>
              </a:gsLst>
              <a:lin ang="5400000" scaled="1"/>
            </a:gradFill>
            <a:effectLst>
              <a:outerShdw blurRad="50800" dist="38100" dir="2700000" algn="tl" rotWithShape="0">
                <a:prstClr val="black">
                  <a:alpha val="40000"/>
                </a:prstClr>
              </a:outerShdw>
            </a:effectLst>
            <a:latin typeface="Arial Black" panose="020B0A04020102020204" pitchFamily="34" charset="0"/>
            <a:ea typeface="Calibri"/>
            <a:cs typeface="Calibri"/>
          </a:endParaRPr>
        </a:p>
      </xdr:txBody>
    </xdr:sp>
    <xdr:clientData/>
  </xdr:twoCellAnchor>
  <xdr:twoCellAnchor>
    <xdr:from>
      <xdr:col>1</xdr:col>
      <xdr:colOff>213360</xdr:colOff>
      <xdr:row>14</xdr:row>
      <xdr:rowOff>45720</xdr:rowOff>
    </xdr:from>
    <xdr:to>
      <xdr:col>3</xdr:col>
      <xdr:colOff>38100</xdr:colOff>
      <xdr:row>17</xdr:row>
      <xdr:rowOff>137160</xdr:rowOff>
    </xdr:to>
    <xdr:sp macro="" textlink="SalesData!N17">
      <xdr:nvSpPr>
        <xdr:cNvPr id="7" name="Rectangle 6">
          <a:extLst>
            <a:ext uri="{FF2B5EF4-FFF2-40B4-BE49-F238E27FC236}">
              <a16:creationId xmlns:a16="http://schemas.microsoft.com/office/drawing/2014/main" id="{4462E943-206F-4122-B60A-5A7C3C94E5FF}"/>
            </a:ext>
          </a:extLst>
        </xdr:cNvPr>
        <xdr:cNvSpPr/>
      </xdr:nvSpPr>
      <xdr:spPr>
        <a:xfrm>
          <a:off x="403860" y="2606040"/>
          <a:ext cx="1143000" cy="6400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fld id="{6AF7AE4F-D473-4425-8933-8A6CDE87C2B7}" type="TxLink">
            <a:rPr lang="en-US" sz="1400" b="0" i="0" u="none" strike="noStrike">
              <a:gradFill>
                <a:gsLst>
                  <a:gs pos="0">
                    <a:schemeClr val="bg1"/>
                  </a:gs>
                  <a:gs pos="83000">
                    <a:schemeClr val="bg1">
                      <a:lumMod val="65000"/>
                    </a:schemeClr>
                  </a:gs>
                </a:gsLst>
                <a:lin ang="5400000" scaled="1"/>
              </a:gradFill>
              <a:effectLst>
                <a:outerShdw blurRad="50800" dist="38100" dir="2700000" algn="tl" rotWithShape="0">
                  <a:prstClr val="black">
                    <a:alpha val="40000"/>
                  </a:prstClr>
                </a:outerShdw>
              </a:effectLst>
              <a:latin typeface="Arial Black" panose="020B0A04020102020204" pitchFamily="34" charset="0"/>
              <a:ea typeface="Calibri"/>
              <a:cs typeface="Calibri"/>
            </a:rPr>
            <a:pPr marL="0" indent="0" algn="l"/>
            <a:t>10.7k</a:t>
          </a:fld>
          <a:endParaRPr lang="en-IN" sz="1400" b="0" i="0" u="none" strike="noStrike">
            <a:gradFill>
              <a:gsLst>
                <a:gs pos="0">
                  <a:schemeClr val="bg1"/>
                </a:gs>
                <a:gs pos="83000">
                  <a:schemeClr val="bg1">
                    <a:lumMod val="65000"/>
                  </a:schemeClr>
                </a:gs>
              </a:gsLst>
              <a:lin ang="5400000" scaled="1"/>
            </a:gradFill>
            <a:effectLst>
              <a:outerShdw blurRad="50800" dist="38100" dir="2700000" algn="tl" rotWithShape="0">
                <a:prstClr val="black">
                  <a:alpha val="40000"/>
                </a:prstClr>
              </a:outerShdw>
            </a:effectLst>
            <a:latin typeface="Arial Black" panose="020B0A04020102020204" pitchFamily="34" charset="0"/>
            <a:ea typeface="Calibri"/>
            <a:cs typeface="Calibri"/>
          </a:endParaRPr>
        </a:p>
      </xdr:txBody>
    </xdr:sp>
    <xdr:clientData/>
  </xdr:twoCellAnchor>
  <xdr:twoCellAnchor>
    <xdr:from>
      <xdr:col>1</xdr:col>
      <xdr:colOff>206771</xdr:colOff>
      <xdr:row>1</xdr:row>
      <xdr:rowOff>84916</xdr:rowOff>
    </xdr:from>
    <xdr:to>
      <xdr:col>3</xdr:col>
      <xdr:colOff>218655</xdr:colOff>
      <xdr:row>3</xdr:row>
      <xdr:rowOff>129765</xdr:rowOff>
    </xdr:to>
    <xdr:sp macro="" textlink="SalesData!N4">
      <xdr:nvSpPr>
        <xdr:cNvPr id="8" name="Rectangle 7">
          <a:extLst>
            <a:ext uri="{FF2B5EF4-FFF2-40B4-BE49-F238E27FC236}">
              <a16:creationId xmlns:a16="http://schemas.microsoft.com/office/drawing/2014/main" id="{B29ECC55-A7E0-49AC-9480-4D1DC499CD47}"/>
            </a:ext>
          </a:extLst>
        </xdr:cNvPr>
        <xdr:cNvSpPr/>
      </xdr:nvSpPr>
      <xdr:spPr>
        <a:xfrm>
          <a:off x="397271" y="267796"/>
          <a:ext cx="1330144" cy="410609"/>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0" i="0" u="none" strike="noStrike">
              <a:gradFill>
                <a:gsLst>
                  <a:gs pos="0">
                    <a:schemeClr val="bg1"/>
                  </a:gs>
                  <a:gs pos="83000">
                    <a:schemeClr val="bg1">
                      <a:lumMod val="65000"/>
                    </a:schemeClr>
                  </a:gs>
                </a:gsLst>
                <a:lin ang="5400000" scaled="1"/>
              </a:gradFill>
              <a:effectLst>
                <a:outerShdw blurRad="50800" dist="38100" dir="2700000" algn="tl" rotWithShape="0">
                  <a:prstClr val="black">
                    <a:alpha val="40000"/>
                  </a:prstClr>
                </a:outerShdw>
              </a:effectLst>
              <a:latin typeface="Arial Black" panose="020B0A04020102020204" pitchFamily="34" charset="0"/>
              <a:ea typeface="Calibri"/>
              <a:cs typeface="Calibri"/>
            </a:rPr>
            <a:t>$</a:t>
          </a:r>
          <a:fld id="{E9AC38C8-8A94-4F14-8BB4-615053723B7B}" type="TxLink">
            <a:rPr lang="en-US" sz="1400" b="0" i="0" u="none" strike="noStrike">
              <a:gradFill>
                <a:gsLst>
                  <a:gs pos="0">
                    <a:schemeClr val="bg1"/>
                  </a:gs>
                  <a:gs pos="83000">
                    <a:schemeClr val="bg1">
                      <a:lumMod val="65000"/>
                    </a:schemeClr>
                  </a:gs>
                </a:gsLst>
                <a:lin ang="5400000" scaled="1"/>
              </a:gradFill>
              <a:effectLst>
                <a:outerShdw blurRad="50800" dist="38100" dir="2700000" algn="tl" rotWithShape="0">
                  <a:prstClr val="black">
                    <a:alpha val="40000"/>
                  </a:prstClr>
                </a:outerShdw>
              </a:effectLst>
              <a:latin typeface="Arial Black" panose="020B0A04020102020204" pitchFamily="34" charset="0"/>
              <a:ea typeface="Calibri"/>
              <a:cs typeface="Calibri"/>
            </a:rPr>
            <a:pPr algn="l"/>
            <a:t>8.4M</a:t>
          </a:fld>
          <a:endParaRPr lang="en-IN" sz="1400">
            <a:gradFill>
              <a:gsLst>
                <a:gs pos="0">
                  <a:schemeClr val="bg1"/>
                </a:gs>
                <a:gs pos="83000">
                  <a:schemeClr val="bg1">
                    <a:lumMod val="65000"/>
                  </a:schemeClr>
                </a:gs>
              </a:gsLst>
              <a:lin ang="5400000" scaled="1"/>
            </a:gradFill>
            <a:effectLst>
              <a:outerShdw blurRad="50800" dist="38100" dir="2700000" algn="tl" rotWithShape="0">
                <a:prstClr val="black">
                  <a:alpha val="40000"/>
                </a:prstClr>
              </a:outerShdw>
            </a:effectLst>
            <a:latin typeface="Arial Black" panose="020B0A04020102020204" pitchFamily="34" charset="0"/>
          </a:endParaRPr>
        </a:p>
      </xdr:txBody>
    </xdr:sp>
    <xdr:clientData/>
  </xdr:twoCellAnchor>
  <xdr:oneCellAnchor>
    <xdr:from>
      <xdr:col>1</xdr:col>
      <xdr:colOff>251460</xdr:colOff>
      <xdr:row>4</xdr:row>
      <xdr:rowOff>0</xdr:rowOff>
    </xdr:from>
    <xdr:ext cx="199971" cy="228600"/>
    <xdr:sp macro="" textlink="">
      <xdr:nvSpPr>
        <xdr:cNvPr id="10" name="TextBox 9">
          <a:extLst>
            <a:ext uri="{FF2B5EF4-FFF2-40B4-BE49-F238E27FC236}">
              <a16:creationId xmlns:a16="http://schemas.microsoft.com/office/drawing/2014/main" id="{AAE05AAA-E689-2F67-A40E-5D1D76E4C6F4}"/>
            </a:ext>
          </a:extLst>
        </xdr:cNvPr>
        <xdr:cNvSpPr txBox="1"/>
      </xdr:nvSpPr>
      <xdr:spPr>
        <a:xfrm>
          <a:off x="441960" y="731520"/>
          <a:ext cx="199971" cy="2286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IN" sz="1100"/>
        </a:p>
      </xdr:txBody>
    </xdr:sp>
    <xdr:clientData/>
  </xdr:oneCellAnchor>
  <xdr:oneCellAnchor>
    <xdr:from>
      <xdr:col>1</xdr:col>
      <xdr:colOff>53340</xdr:colOff>
      <xdr:row>2</xdr:row>
      <xdr:rowOff>175260</xdr:rowOff>
    </xdr:from>
    <xdr:ext cx="1019703" cy="343410"/>
    <xdr:sp macro="" textlink="">
      <xdr:nvSpPr>
        <xdr:cNvPr id="12" name="TextBox 11">
          <a:extLst>
            <a:ext uri="{FF2B5EF4-FFF2-40B4-BE49-F238E27FC236}">
              <a16:creationId xmlns:a16="http://schemas.microsoft.com/office/drawing/2014/main" id="{96B66994-C474-9C18-F9DB-53336F497820}"/>
            </a:ext>
          </a:extLst>
        </xdr:cNvPr>
        <xdr:cNvSpPr txBox="1"/>
      </xdr:nvSpPr>
      <xdr:spPr>
        <a:xfrm>
          <a:off x="243840" y="541020"/>
          <a:ext cx="1019703" cy="3434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100">
              <a:solidFill>
                <a:schemeClr val="bg1"/>
              </a:solidFill>
            </a:rPr>
            <a:t>⭐</a:t>
          </a:r>
          <a:r>
            <a:rPr lang="en-IN" sz="1100">
              <a:solidFill>
                <a:schemeClr val="bg1"/>
              </a:solidFill>
              <a:latin typeface="+mn-lt"/>
              <a:ea typeface="+mn-ea"/>
              <a:cs typeface="+mn-cs"/>
            </a:rPr>
            <a:t>Total Profit</a:t>
          </a:r>
        </a:p>
      </xdr:txBody>
    </xdr:sp>
    <xdr:clientData/>
  </xdr:oneCellAnchor>
  <xdr:oneCellAnchor>
    <xdr:from>
      <xdr:col>1</xdr:col>
      <xdr:colOff>22860</xdr:colOff>
      <xdr:row>6</xdr:row>
      <xdr:rowOff>30479</xdr:rowOff>
    </xdr:from>
    <xdr:ext cx="1066800" cy="274831"/>
    <xdr:sp macro="" textlink="">
      <xdr:nvSpPr>
        <xdr:cNvPr id="13" name="TextBox 12">
          <a:extLst>
            <a:ext uri="{FF2B5EF4-FFF2-40B4-BE49-F238E27FC236}">
              <a16:creationId xmlns:a16="http://schemas.microsoft.com/office/drawing/2014/main" id="{9CFF0C25-D38B-430E-BFA1-B5E9DF982722}"/>
            </a:ext>
          </a:extLst>
        </xdr:cNvPr>
        <xdr:cNvSpPr txBox="1"/>
      </xdr:nvSpPr>
      <xdr:spPr>
        <a:xfrm>
          <a:off x="213360" y="1127759"/>
          <a:ext cx="1066800" cy="27483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100">
              <a:solidFill>
                <a:schemeClr val="bg1"/>
              </a:solidFill>
            </a:rPr>
            <a:t>🛒</a:t>
          </a:r>
          <a:r>
            <a:rPr lang="en-IN" sz="1100">
              <a:solidFill>
                <a:schemeClr val="bg1"/>
              </a:solidFill>
              <a:latin typeface="+mn-lt"/>
              <a:ea typeface="+mn-ea"/>
              <a:cs typeface="+mn-cs"/>
            </a:rPr>
            <a:t>Total</a:t>
          </a:r>
          <a:r>
            <a:rPr lang="en-IN" sz="1100">
              <a:solidFill>
                <a:schemeClr val="bg1"/>
              </a:solidFill>
            </a:rPr>
            <a:t> </a:t>
          </a:r>
          <a:r>
            <a:rPr lang="en-IN" sz="1100">
              <a:solidFill>
                <a:schemeClr val="bg1"/>
              </a:solidFill>
              <a:latin typeface="+mn-lt"/>
              <a:ea typeface="+mn-ea"/>
              <a:cs typeface="+mn-cs"/>
            </a:rPr>
            <a:t>Target</a:t>
          </a:r>
        </a:p>
      </xdr:txBody>
    </xdr:sp>
    <xdr:clientData/>
  </xdr:oneCellAnchor>
  <xdr:oneCellAnchor>
    <xdr:from>
      <xdr:col>0</xdr:col>
      <xdr:colOff>144780</xdr:colOff>
      <xdr:row>9</xdr:row>
      <xdr:rowOff>68581</xdr:rowOff>
    </xdr:from>
    <xdr:ext cx="1539240" cy="282450"/>
    <xdr:sp macro="" textlink="">
      <xdr:nvSpPr>
        <xdr:cNvPr id="14" name="TextBox 13">
          <a:extLst>
            <a:ext uri="{FF2B5EF4-FFF2-40B4-BE49-F238E27FC236}">
              <a16:creationId xmlns:a16="http://schemas.microsoft.com/office/drawing/2014/main" id="{E7F24C7F-5B5B-4C2F-84AA-8D64BAE5B3A0}"/>
            </a:ext>
          </a:extLst>
        </xdr:cNvPr>
        <xdr:cNvSpPr txBox="1"/>
      </xdr:nvSpPr>
      <xdr:spPr>
        <a:xfrm>
          <a:off x="144780" y="1714501"/>
          <a:ext cx="1539240" cy="2824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100">
              <a:solidFill>
                <a:schemeClr val="bg1"/>
              </a:solidFill>
            </a:rPr>
            <a:t>💎</a:t>
          </a:r>
          <a:r>
            <a:rPr lang="en-IN" sz="1100">
              <a:solidFill>
                <a:schemeClr val="bg1"/>
              </a:solidFill>
              <a:latin typeface="+mn-lt"/>
              <a:ea typeface="+mn-ea"/>
              <a:cs typeface="+mn-cs"/>
            </a:rPr>
            <a:t>Target</a:t>
          </a:r>
          <a:r>
            <a:rPr lang="en-IN" sz="1100">
              <a:solidFill>
                <a:schemeClr val="bg1"/>
              </a:solidFill>
            </a:rPr>
            <a:t> </a:t>
          </a:r>
          <a:r>
            <a:rPr lang="en-IN" sz="1100">
              <a:solidFill>
                <a:schemeClr val="bg1"/>
              </a:solidFill>
              <a:latin typeface="+mn-lt"/>
              <a:ea typeface="+mn-ea"/>
              <a:cs typeface="+mn-cs"/>
            </a:rPr>
            <a:t>Achievement</a:t>
          </a:r>
        </a:p>
      </xdr:txBody>
    </xdr:sp>
    <xdr:clientData/>
  </xdr:oneCellAnchor>
  <xdr:oneCellAnchor>
    <xdr:from>
      <xdr:col>1</xdr:col>
      <xdr:colOff>0</xdr:colOff>
      <xdr:row>12</xdr:row>
      <xdr:rowOff>91440</xdr:rowOff>
    </xdr:from>
    <xdr:ext cx="1379220" cy="282450"/>
    <xdr:sp macro="" textlink="">
      <xdr:nvSpPr>
        <xdr:cNvPr id="15" name="TextBox 14">
          <a:extLst>
            <a:ext uri="{FF2B5EF4-FFF2-40B4-BE49-F238E27FC236}">
              <a16:creationId xmlns:a16="http://schemas.microsoft.com/office/drawing/2014/main" id="{86965E9C-9C5E-4489-A147-806B81919671}"/>
            </a:ext>
          </a:extLst>
        </xdr:cNvPr>
        <xdr:cNvSpPr txBox="1"/>
      </xdr:nvSpPr>
      <xdr:spPr>
        <a:xfrm>
          <a:off x="190500" y="2286000"/>
          <a:ext cx="1379220" cy="2824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100">
              <a:solidFill>
                <a:schemeClr val="bg1"/>
              </a:solidFill>
            </a:rPr>
            <a:t>📻</a:t>
          </a:r>
          <a:r>
            <a:rPr lang="en-IN" sz="1100">
              <a:solidFill>
                <a:schemeClr val="bg1"/>
              </a:solidFill>
              <a:latin typeface="+mn-lt"/>
              <a:ea typeface="+mn-ea"/>
              <a:cs typeface="+mn-cs"/>
            </a:rPr>
            <a:t>Total</a:t>
          </a:r>
          <a:r>
            <a:rPr lang="en-IN" sz="1100">
              <a:solidFill>
                <a:schemeClr val="bg1"/>
              </a:solidFill>
            </a:rPr>
            <a:t> </a:t>
          </a:r>
          <a:r>
            <a:rPr lang="en-IN" sz="1100">
              <a:solidFill>
                <a:schemeClr val="bg1"/>
              </a:solidFill>
              <a:latin typeface="+mn-lt"/>
              <a:ea typeface="+mn-ea"/>
              <a:cs typeface="+mn-cs"/>
            </a:rPr>
            <a:t>Units</a:t>
          </a:r>
          <a:r>
            <a:rPr lang="en-IN" sz="1100">
              <a:solidFill>
                <a:schemeClr val="bg1"/>
              </a:solidFill>
            </a:rPr>
            <a:t> </a:t>
          </a:r>
          <a:r>
            <a:rPr lang="en-IN" sz="1100">
              <a:solidFill>
                <a:schemeClr val="bg1"/>
              </a:solidFill>
              <a:latin typeface="+mn-lt"/>
              <a:ea typeface="+mn-ea"/>
              <a:cs typeface="+mn-cs"/>
            </a:rPr>
            <a:t>Sold</a:t>
          </a:r>
        </a:p>
      </xdr:txBody>
    </xdr:sp>
    <xdr:clientData/>
  </xdr:oneCellAnchor>
  <xdr:twoCellAnchor>
    <xdr:from>
      <xdr:col>3</xdr:col>
      <xdr:colOff>121920</xdr:colOff>
      <xdr:row>0</xdr:row>
      <xdr:rowOff>0</xdr:rowOff>
    </xdr:from>
    <xdr:to>
      <xdr:col>27</xdr:col>
      <xdr:colOff>533400</xdr:colOff>
      <xdr:row>46</xdr:row>
      <xdr:rowOff>160020</xdr:rowOff>
    </xdr:to>
    <xdr:sp macro="" textlink="">
      <xdr:nvSpPr>
        <xdr:cNvPr id="16" name="Rectangle 15">
          <a:extLst>
            <a:ext uri="{FF2B5EF4-FFF2-40B4-BE49-F238E27FC236}">
              <a16:creationId xmlns:a16="http://schemas.microsoft.com/office/drawing/2014/main" id="{FFC6AE88-D167-BBCA-7B01-6E3C0BCB4961}"/>
            </a:ext>
          </a:extLst>
        </xdr:cNvPr>
        <xdr:cNvSpPr/>
      </xdr:nvSpPr>
      <xdr:spPr>
        <a:xfrm>
          <a:off x="1630680" y="0"/>
          <a:ext cx="15041880" cy="8572500"/>
        </a:xfrm>
        <a:prstGeom prst="rect">
          <a:avLst/>
        </a:prstGeom>
        <a:solidFill>
          <a:schemeClr val="tx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281940</xdr:colOff>
      <xdr:row>0</xdr:row>
      <xdr:rowOff>68580</xdr:rowOff>
    </xdr:from>
    <xdr:to>
      <xdr:col>8</xdr:col>
      <xdr:colOff>175260</xdr:colOff>
      <xdr:row>11</xdr:row>
      <xdr:rowOff>22860</xdr:rowOff>
    </xdr:to>
    <xdr:graphicFrame macro="">
      <xdr:nvGraphicFramePr>
        <xdr:cNvPr id="19" name="Chart 18">
          <a:extLst>
            <a:ext uri="{FF2B5EF4-FFF2-40B4-BE49-F238E27FC236}">
              <a16:creationId xmlns:a16="http://schemas.microsoft.com/office/drawing/2014/main" id="{B605EE36-8D69-4127-B68E-D8CC9C5291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548640</xdr:colOff>
      <xdr:row>0</xdr:row>
      <xdr:rowOff>68580</xdr:rowOff>
    </xdr:from>
    <xdr:to>
      <xdr:col>20</xdr:col>
      <xdr:colOff>0</xdr:colOff>
      <xdr:row>11</xdr:row>
      <xdr:rowOff>45720</xdr:rowOff>
    </xdr:to>
    <xdr:graphicFrame macro="">
      <xdr:nvGraphicFramePr>
        <xdr:cNvPr id="20" name="Chart 19">
          <a:extLst>
            <a:ext uri="{FF2B5EF4-FFF2-40B4-BE49-F238E27FC236}">
              <a16:creationId xmlns:a16="http://schemas.microsoft.com/office/drawing/2014/main" id="{E943C432-2CF1-410C-ABAD-0669833296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281940</xdr:colOff>
      <xdr:row>13</xdr:row>
      <xdr:rowOff>83820</xdr:rowOff>
    </xdr:from>
    <xdr:to>
      <xdr:col>7</xdr:col>
      <xdr:colOff>182880</xdr:colOff>
      <xdr:row>23</xdr:row>
      <xdr:rowOff>30480</xdr:rowOff>
    </xdr:to>
    <xdr:graphicFrame macro="">
      <xdr:nvGraphicFramePr>
        <xdr:cNvPr id="21" name="Chart 20">
          <a:extLst>
            <a:ext uri="{FF2B5EF4-FFF2-40B4-BE49-F238E27FC236}">
              <a16:creationId xmlns:a16="http://schemas.microsoft.com/office/drawing/2014/main" id="{32B90C7C-AB21-4548-974B-11E18C12CA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441960</xdr:colOff>
      <xdr:row>13</xdr:row>
      <xdr:rowOff>76200</xdr:rowOff>
    </xdr:from>
    <xdr:to>
      <xdr:col>16</xdr:col>
      <xdr:colOff>152400</xdr:colOff>
      <xdr:row>26</xdr:row>
      <xdr:rowOff>106680</xdr:rowOff>
    </xdr:to>
    <xdr:graphicFrame macro="">
      <xdr:nvGraphicFramePr>
        <xdr:cNvPr id="22" name="Chart 21">
          <a:extLst>
            <a:ext uri="{FF2B5EF4-FFF2-40B4-BE49-F238E27FC236}">
              <a16:creationId xmlns:a16="http://schemas.microsoft.com/office/drawing/2014/main" id="{A6CF1690-FF81-475F-A1C0-346F6F525B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472440</xdr:colOff>
      <xdr:row>0</xdr:row>
      <xdr:rowOff>76200</xdr:rowOff>
    </xdr:from>
    <xdr:to>
      <xdr:col>14</xdr:col>
      <xdr:colOff>304800</xdr:colOff>
      <xdr:row>11</xdr:row>
      <xdr:rowOff>38100</xdr:rowOff>
    </xdr:to>
    <xdr:graphicFrame macro="">
      <xdr:nvGraphicFramePr>
        <xdr:cNvPr id="23" name="Chart 22">
          <a:extLst>
            <a:ext uri="{FF2B5EF4-FFF2-40B4-BE49-F238E27FC236}">
              <a16:creationId xmlns:a16="http://schemas.microsoft.com/office/drawing/2014/main" id="{B50C6E80-4440-4FAA-A3A8-052D72617B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20</xdr:col>
      <xdr:colOff>297180</xdr:colOff>
      <xdr:row>8</xdr:row>
      <xdr:rowOff>160020</xdr:rowOff>
    </xdr:from>
    <xdr:to>
      <xdr:col>23</xdr:col>
      <xdr:colOff>60960</xdr:colOff>
      <xdr:row>15</xdr:row>
      <xdr:rowOff>152400</xdr:rowOff>
    </xdr:to>
    <mc:AlternateContent xmlns:mc="http://schemas.openxmlformats.org/markup-compatibility/2006" xmlns:a14="http://schemas.microsoft.com/office/drawing/2010/main">
      <mc:Choice Requires="a14">
        <xdr:graphicFrame macro="">
          <xdr:nvGraphicFramePr>
            <xdr:cNvPr id="24" name="Region">
              <a:extLst>
                <a:ext uri="{FF2B5EF4-FFF2-40B4-BE49-F238E27FC236}">
                  <a16:creationId xmlns:a16="http://schemas.microsoft.com/office/drawing/2014/main" id="{CE39BC3E-5A17-40CB-8226-F6812D578F4F}"/>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2169140" y="1623060"/>
              <a:ext cx="1592580" cy="12725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312420</xdr:colOff>
      <xdr:row>17</xdr:row>
      <xdr:rowOff>15240</xdr:rowOff>
    </xdr:from>
    <xdr:to>
      <xdr:col>23</xdr:col>
      <xdr:colOff>114300</xdr:colOff>
      <xdr:row>25</xdr:row>
      <xdr:rowOff>0</xdr:rowOff>
    </xdr:to>
    <mc:AlternateContent xmlns:mc="http://schemas.openxmlformats.org/markup-compatibility/2006" xmlns:a14="http://schemas.microsoft.com/office/drawing/2010/main">
      <mc:Choice Requires="a14">
        <xdr:graphicFrame macro="">
          <xdr:nvGraphicFramePr>
            <xdr:cNvPr id="25" name="Salesperson">
              <a:extLst>
                <a:ext uri="{FF2B5EF4-FFF2-40B4-BE49-F238E27FC236}">
                  <a16:creationId xmlns:a16="http://schemas.microsoft.com/office/drawing/2014/main" id="{8BAC03AC-32E0-4DC3-B8E8-E13E9A0FB023}"/>
                </a:ext>
              </a:extLst>
            </xdr:cNvPr>
            <xdr:cNvGraphicFramePr/>
          </xdr:nvGraphicFramePr>
          <xdr:xfrm>
            <a:off x="0" y="0"/>
            <a:ext cx="0" cy="0"/>
          </xdr:xfrm>
          <a:graphic>
            <a:graphicData uri="http://schemas.microsoft.com/office/drawing/2010/slicer">
              <sle:slicer xmlns:sle="http://schemas.microsoft.com/office/drawing/2010/slicer" name="Salesperson"/>
            </a:graphicData>
          </a:graphic>
        </xdr:graphicFrame>
      </mc:Choice>
      <mc:Fallback xmlns="">
        <xdr:sp macro="" textlink="">
          <xdr:nvSpPr>
            <xdr:cNvPr id="0" name=""/>
            <xdr:cNvSpPr>
              <a:spLocks noTextEdit="1"/>
            </xdr:cNvSpPr>
          </xdr:nvSpPr>
          <xdr:spPr>
            <a:xfrm>
              <a:off x="12184380" y="3124200"/>
              <a:ext cx="1630680" cy="1447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266700</xdr:colOff>
      <xdr:row>1</xdr:row>
      <xdr:rowOff>30480</xdr:rowOff>
    </xdr:from>
    <xdr:to>
      <xdr:col>23</xdr:col>
      <xdr:colOff>38100</xdr:colOff>
      <xdr:row>7</xdr:row>
      <xdr:rowOff>137160</xdr:rowOff>
    </xdr:to>
    <mc:AlternateContent xmlns:mc="http://schemas.openxmlformats.org/markup-compatibility/2006" xmlns:a14="http://schemas.microsoft.com/office/drawing/2010/main">
      <mc:Choice Requires="a14">
        <xdr:graphicFrame macro="">
          <xdr:nvGraphicFramePr>
            <xdr:cNvPr id="26" name="Category">
              <a:extLst>
                <a:ext uri="{FF2B5EF4-FFF2-40B4-BE49-F238E27FC236}">
                  <a16:creationId xmlns:a16="http://schemas.microsoft.com/office/drawing/2014/main" id="{56DC1F19-F35C-47EB-BEA3-A8AD33C95B05}"/>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2138660" y="213360"/>
              <a:ext cx="1600200" cy="12039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487680</xdr:colOff>
      <xdr:row>13</xdr:row>
      <xdr:rowOff>76200</xdr:rowOff>
    </xdr:from>
    <xdr:to>
      <xdr:col>20</xdr:col>
      <xdr:colOff>45720</xdr:colOff>
      <xdr:row>26</xdr:row>
      <xdr:rowOff>91440</xdr:rowOff>
    </xdr:to>
    <xdr:sp macro="" textlink="">
      <xdr:nvSpPr>
        <xdr:cNvPr id="27" name="Rectangle 26">
          <a:extLst>
            <a:ext uri="{FF2B5EF4-FFF2-40B4-BE49-F238E27FC236}">
              <a16:creationId xmlns:a16="http://schemas.microsoft.com/office/drawing/2014/main" id="{081CC4D8-449C-948E-4FE7-98B5FFFF17B8}"/>
            </a:ext>
          </a:extLst>
        </xdr:cNvPr>
        <xdr:cNvSpPr/>
      </xdr:nvSpPr>
      <xdr:spPr>
        <a:xfrm>
          <a:off x="9921240" y="2453640"/>
          <a:ext cx="1996440" cy="2392680"/>
        </a:xfrm>
        <a:prstGeom prst="rec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a:t>
          </a:r>
        </a:p>
      </xdr:txBody>
    </xdr:sp>
    <xdr:clientData/>
  </xdr:twoCellAnchor>
  <xdr:oneCellAnchor>
    <xdr:from>
      <xdr:col>18</xdr:col>
      <xdr:colOff>365760</xdr:colOff>
      <xdr:row>17</xdr:row>
      <xdr:rowOff>0</xdr:rowOff>
    </xdr:from>
    <xdr:ext cx="184731" cy="264560"/>
    <xdr:sp macro="" textlink="">
      <xdr:nvSpPr>
        <xdr:cNvPr id="28" name="TextBox 27">
          <a:extLst>
            <a:ext uri="{FF2B5EF4-FFF2-40B4-BE49-F238E27FC236}">
              <a16:creationId xmlns:a16="http://schemas.microsoft.com/office/drawing/2014/main" id="{4BB2C919-C54E-8C1D-58F3-4336D023B793}"/>
            </a:ext>
          </a:extLst>
        </xdr:cNvPr>
        <xdr:cNvSpPr txBox="1"/>
      </xdr:nvSpPr>
      <xdr:spPr>
        <a:xfrm>
          <a:off x="11018520" y="31089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oneCellAnchor>
    <xdr:from>
      <xdr:col>17</xdr:col>
      <xdr:colOff>220980</xdr:colOff>
      <xdr:row>13</xdr:row>
      <xdr:rowOff>144780</xdr:rowOff>
    </xdr:from>
    <xdr:ext cx="807720" cy="436786"/>
    <xdr:sp macro="" textlink="">
      <xdr:nvSpPr>
        <xdr:cNvPr id="29" name="TextBox 28">
          <a:extLst>
            <a:ext uri="{FF2B5EF4-FFF2-40B4-BE49-F238E27FC236}">
              <a16:creationId xmlns:a16="http://schemas.microsoft.com/office/drawing/2014/main" id="{6FD6998C-9F7A-7085-FE6A-F9A1DC6DB10E}"/>
            </a:ext>
          </a:extLst>
        </xdr:cNvPr>
        <xdr:cNvSpPr txBox="1"/>
      </xdr:nvSpPr>
      <xdr:spPr>
        <a:xfrm>
          <a:off x="10264140" y="2522220"/>
          <a:ext cx="807720" cy="436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100" b="1"/>
            <a:t>Insight</a:t>
          </a:r>
        </a:p>
        <a:p>
          <a:endParaRPr lang="en-IN" sz="1100" b="0"/>
        </a:p>
      </xdr:txBody>
    </xdr:sp>
    <xdr:clientData/>
  </xdr:oneCellAnchor>
  <xdr:oneCellAnchor>
    <xdr:from>
      <xdr:col>17</xdr:col>
      <xdr:colOff>106680</xdr:colOff>
      <xdr:row>15</xdr:row>
      <xdr:rowOff>91440</xdr:rowOff>
    </xdr:from>
    <xdr:ext cx="1630680" cy="1470146"/>
    <xdr:sp macro="" textlink="">
      <xdr:nvSpPr>
        <xdr:cNvPr id="30" name="TextBox 29">
          <a:extLst>
            <a:ext uri="{FF2B5EF4-FFF2-40B4-BE49-F238E27FC236}">
              <a16:creationId xmlns:a16="http://schemas.microsoft.com/office/drawing/2014/main" id="{6DF65AC1-46A1-4880-9000-F9020B7D35E1}"/>
            </a:ext>
          </a:extLst>
        </xdr:cNvPr>
        <xdr:cNvSpPr txBox="1"/>
      </xdr:nvSpPr>
      <xdr:spPr>
        <a:xfrm>
          <a:off x="10149840" y="2834640"/>
          <a:ext cx="1630680"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100"/>
            <a:t>1 West region generates highest revenue.</a:t>
          </a:r>
        </a:p>
        <a:p>
          <a:r>
            <a:rPr lang="en-IN" sz="1100"/>
            <a:t>2 Electronics drive majority of  category</a:t>
          </a:r>
          <a:r>
            <a:rPr lang="en-IN" sz="1100" baseline="0"/>
            <a:t> </a:t>
          </a:r>
          <a:r>
            <a:rPr lang="en-IN" sz="1100"/>
            <a:t>sales.</a:t>
          </a:r>
        </a:p>
        <a:p>
          <a:r>
            <a:rPr lang="en-IN" sz="1100"/>
            <a:t>3 Target achievement is only 66%</a:t>
          </a:r>
          <a:r>
            <a:rPr lang="en-IN" sz="1100" baseline="0"/>
            <a:t> below expected benchmark.</a:t>
          </a:r>
          <a:endParaRPr lang="en-IN" sz="1100"/>
        </a:p>
      </xdr:txBody>
    </xdr:sp>
    <xdr:clientData/>
  </xdr:oneCellAnchor>
</xdr:wsDr>
</file>

<file path=xl/drawings/drawing2.xml><?xml version="1.0" encoding="utf-8"?>
<c:userShapes xmlns:c="http://schemas.openxmlformats.org/drawingml/2006/chart">
  <cdr:relSizeAnchor xmlns:cdr="http://schemas.openxmlformats.org/drawingml/2006/chartDrawing">
    <cdr:from>
      <cdr:x>0.73323</cdr:x>
      <cdr:y>0.07831</cdr:y>
    </cdr:from>
    <cdr:to>
      <cdr:x>0.94089</cdr:x>
      <cdr:y>0.31627</cdr:y>
    </cdr:to>
    <cdr:sp macro="" textlink="">
      <cdr:nvSpPr>
        <cdr:cNvPr id="2" name="TextBox 1">
          <a:extLst xmlns:a="http://schemas.openxmlformats.org/drawingml/2006/main">
            <a:ext uri="{FF2B5EF4-FFF2-40B4-BE49-F238E27FC236}">
              <a16:creationId xmlns:a16="http://schemas.microsoft.com/office/drawing/2014/main" id="{99E1B5EC-1321-A87E-B551-4AC660B05476}"/>
            </a:ext>
          </a:extLst>
        </cdr:cNvPr>
        <cdr:cNvSpPr txBox="1"/>
      </cdr:nvSpPr>
      <cdr:spPr>
        <a:xfrm xmlns:a="http://schemas.openxmlformats.org/drawingml/2006/main">
          <a:off x="3497580" y="198120"/>
          <a:ext cx="990600" cy="60198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IN" sz="1100" kern="1200"/>
        </a:p>
      </cdr:txBody>
    </cdr:sp>
  </cdr:relSizeAnchor>
  <cdr:relSizeAnchor xmlns:cdr="http://schemas.openxmlformats.org/drawingml/2006/chartDrawing">
    <cdr:from>
      <cdr:x>0.63676</cdr:x>
      <cdr:y>0.01685</cdr:y>
    </cdr:from>
    <cdr:to>
      <cdr:x>0.96628</cdr:x>
      <cdr:y>0.10759</cdr:y>
    </cdr:to>
    <cdr:sp macro="" textlink="">
      <cdr:nvSpPr>
        <cdr:cNvPr id="3" name="TextBox 2">
          <a:extLst xmlns:a="http://schemas.openxmlformats.org/drawingml/2006/main">
            <a:ext uri="{FF2B5EF4-FFF2-40B4-BE49-F238E27FC236}">
              <a16:creationId xmlns:a16="http://schemas.microsoft.com/office/drawing/2014/main" id="{337F0361-8224-D785-3799-F4D9E3513467}"/>
            </a:ext>
          </a:extLst>
        </cdr:cNvPr>
        <cdr:cNvSpPr txBox="1"/>
      </cdr:nvSpPr>
      <cdr:spPr>
        <a:xfrm xmlns:a="http://schemas.openxmlformats.org/drawingml/2006/main">
          <a:off x="3309162" y="40579"/>
          <a:ext cx="1712418" cy="218501"/>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IN" sz="1200" kern="1200"/>
            <a:t>Salesperson</a:t>
          </a:r>
          <a:r>
            <a:rPr lang="en-IN" sz="1200" kern="1200" baseline="0"/>
            <a:t> Performance</a:t>
          </a:r>
          <a:endParaRPr lang="en-IN" sz="1200" kern="1200"/>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kanksha Jha" refreshedDate="46080.985202199074" createdVersion="8" refreshedVersion="8" minRefreshableVersion="3" recordCount="1000" xr:uid="{D5F32F02-AA5E-4FEC-9056-3A3D02D5AB36}">
  <cacheSource type="worksheet">
    <worksheetSource ref="A1:L1001" sheet="SalesData"/>
  </cacheSource>
  <cacheFields count="12">
    <cacheField name="Date" numFmtId="165">
      <sharedItems/>
    </cacheField>
    <cacheField name="Month" numFmtId="0">
      <sharedItems count="12">
        <s v="July"/>
        <s v="August"/>
        <s v="November"/>
        <s v="May"/>
        <s v="June"/>
        <s v="January"/>
        <s v="September"/>
        <s v="March"/>
        <s v="December"/>
        <s v="April"/>
        <s v="October"/>
        <s v="February"/>
      </sharedItems>
    </cacheField>
    <cacheField name="Year" numFmtId="0">
      <sharedItems containsSemiMixedTypes="0" containsString="0" containsNumber="1" containsInteger="1" minValue="2025" maxValue="2025" count="1">
        <n v="2025"/>
      </sharedItems>
    </cacheField>
    <cacheField name="Region" numFmtId="0">
      <sharedItems count="4">
        <s v="North"/>
        <s v="South"/>
        <s v="East"/>
        <s v="West"/>
      </sharedItems>
    </cacheField>
    <cacheField name="Salesperson" numFmtId="0">
      <sharedItems count="5">
        <s v="John Smith"/>
        <s v="Daniel Lee"/>
        <s v="Michael Brown"/>
        <s v="Sophia Wilson"/>
        <s v="Emily Davis"/>
      </sharedItems>
    </cacheField>
    <cacheField name="Product" numFmtId="0">
      <sharedItems/>
    </cacheField>
    <cacheField name="Category" numFmtId="0">
      <sharedItems count="3">
        <s v="Furniture"/>
        <s v="Electronics"/>
        <s v="Office Supplies"/>
      </sharedItems>
    </cacheField>
    <cacheField name="Units Sold" numFmtId="0">
      <sharedItems containsSemiMixedTypes="0" containsString="0" containsNumber="1" containsInteger="1" minValue="1" maxValue="20"/>
    </cacheField>
    <cacheField name="Revenue ($)" numFmtId="0">
      <sharedItems containsSemiMixedTypes="0" containsString="0" containsNumber="1" containsInteger="1" minValue="103" maxValue="28860"/>
    </cacheField>
    <cacheField name="Target ($)" numFmtId="0">
      <sharedItems containsSemiMixedTypes="0" containsString="0" containsNumber="1" containsInteger="1" minValue="5017" maxValue="19977"/>
    </cacheField>
    <cacheField name="Profit ($)" numFmtId="0">
      <sharedItems containsSemiMixedTypes="0" containsString="0" containsNumber="1" minValue="21.17" maxValue="8425.39"/>
    </cacheField>
    <cacheField name="Profit Margin %" numFmtId="9">
      <sharedItems containsSemiMixedTypes="0" containsString="0" containsNumber="1" minValue="0.10036546184738955" maxValue="0.29958715596330276"/>
    </cacheField>
  </cacheFields>
  <extLst>
    <ext xmlns:x14="http://schemas.microsoft.com/office/spreadsheetml/2009/9/main" uri="{725AE2AE-9491-48be-B2B4-4EB974FC3084}">
      <x14:pivotCacheDefinition pivotCacheId="161715155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2025-07-14"/>
    <x v="0"/>
    <x v="0"/>
    <x v="0"/>
    <x v="0"/>
    <s v="Desk Chair"/>
    <x v="0"/>
    <n v="18"/>
    <n v="25218"/>
    <n v="5113"/>
    <n v="2975.57"/>
    <n v="0.11799389325085258"/>
  </r>
  <r>
    <s v="2025-07-22"/>
    <x v="0"/>
    <x v="0"/>
    <x v="1"/>
    <x v="0"/>
    <s v="Laptop"/>
    <x v="1"/>
    <n v="10"/>
    <n v="14050"/>
    <n v="14488"/>
    <n v="3766.29"/>
    <n v="0.26806334519572955"/>
  </r>
  <r>
    <s v="2025-08-19"/>
    <x v="1"/>
    <x v="0"/>
    <x v="2"/>
    <x v="0"/>
    <s v="Desk Chair"/>
    <x v="0"/>
    <n v="5"/>
    <n v="4325"/>
    <n v="11136"/>
    <n v="901.78"/>
    <n v="0.20850404624277455"/>
  </r>
  <r>
    <s v="2025-11-20"/>
    <x v="2"/>
    <x v="0"/>
    <x v="1"/>
    <x v="1"/>
    <s v="Desk Chair"/>
    <x v="0"/>
    <n v="10"/>
    <n v="3560"/>
    <n v="8519"/>
    <n v="1011.11"/>
    <n v="0.28401966292134834"/>
  </r>
  <r>
    <s v="2025-08-20"/>
    <x v="1"/>
    <x v="0"/>
    <x v="2"/>
    <x v="2"/>
    <s v="Monitor"/>
    <x v="1"/>
    <n v="12"/>
    <n v="3876"/>
    <n v="19306"/>
    <n v="737.86"/>
    <n v="0.19036635706914345"/>
  </r>
  <r>
    <s v="2025-05-10"/>
    <x v="3"/>
    <x v="0"/>
    <x v="3"/>
    <x v="0"/>
    <s v="Desk Chair"/>
    <x v="0"/>
    <n v="4"/>
    <n v="4372"/>
    <n v="17632"/>
    <n v="1014.89"/>
    <n v="0.23213403476669717"/>
  </r>
  <r>
    <s v="2025-06-26"/>
    <x v="4"/>
    <x v="0"/>
    <x v="2"/>
    <x v="0"/>
    <s v="Tablet"/>
    <x v="1"/>
    <n v="15"/>
    <n v="16605"/>
    <n v="8873"/>
    <n v="2512.56"/>
    <n v="0.15131345980126468"/>
  </r>
  <r>
    <s v="2025-01-25"/>
    <x v="5"/>
    <x v="0"/>
    <x v="3"/>
    <x v="0"/>
    <s v="Tablet"/>
    <x v="1"/>
    <n v="5"/>
    <n v="3220"/>
    <n v="16215"/>
    <n v="334.14"/>
    <n v="0.10377018633540372"/>
  </r>
  <r>
    <s v="2025-09-01"/>
    <x v="6"/>
    <x v="0"/>
    <x v="0"/>
    <x v="1"/>
    <s v="Desk Chair"/>
    <x v="0"/>
    <n v="18"/>
    <n v="23004"/>
    <n v="9784"/>
    <n v="2854.07"/>
    <n v="0.12406842288297688"/>
  </r>
  <r>
    <s v="2025-03-11"/>
    <x v="7"/>
    <x v="0"/>
    <x v="1"/>
    <x v="1"/>
    <s v="Phone"/>
    <x v="1"/>
    <n v="1"/>
    <n v="518"/>
    <n v="16791"/>
    <n v="137.86000000000001"/>
    <n v="0.26613899613899616"/>
  </r>
  <r>
    <s v="2025-11-07"/>
    <x v="2"/>
    <x v="0"/>
    <x v="0"/>
    <x v="0"/>
    <s v="Tablet"/>
    <x v="1"/>
    <n v="3"/>
    <n v="573"/>
    <n v="14010"/>
    <n v="74.03"/>
    <n v="0.12919720767888307"/>
  </r>
  <r>
    <s v="2025-12-21"/>
    <x v="8"/>
    <x v="0"/>
    <x v="3"/>
    <x v="1"/>
    <s v="Laptop"/>
    <x v="1"/>
    <n v="3"/>
    <n v="2490"/>
    <n v="17357"/>
    <n v="397.6"/>
    <n v="0.15967871485943777"/>
  </r>
  <r>
    <s v="2025-09-14"/>
    <x v="6"/>
    <x v="0"/>
    <x v="3"/>
    <x v="0"/>
    <s v="Tablet"/>
    <x v="1"/>
    <n v="14"/>
    <n v="5488"/>
    <n v="19630"/>
    <n v="1042.45"/>
    <n v="0.18995080174927115"/>
  </r>
  <r>
    <s v="2025-04-04"/>
    <x v="9"/>
    <x v="0"/>
    <x v="2"/>
    <x v="3"/>
    <s v="Laptop"/>
    <x v="1"/>
    <n v="8"/>
    <n v="2104"/>
    <n v="16737"/>
    <n v="338.81"/>
    <n v="0.16103136882129276"/>
  </r>
  <r>
    <s v="2025-11-29"/>
    <x v="2"/>
    <x v="0"/>
    <x v="2"/>
    <x v="0"/>
    <s v="Monitor"/>
    <x v="1"/>
    <n v="7"/>
    <n v="10374"/>
    <n v="10226"/>
    <n v="2871.24"/>
    <n v="0.27677270098322726"/>
  </r>
  <r>
    <s v="2025-03-22"/>
    <x v="7"/>
    <x v="0"/>
    <x v="1"/>
    <x v="3"/>
    <s v="Tablet"/>
    <x v="1"/>
    <n v="16"/>
    <n v="7808"/>
    <n v="13267"/>
    <n v="1369.82"/>
    <n v="0.17543801229508196"/>
  </r>
  <r>
    <s v="2025-09-20"/>
    <x v="6"/>
    <x v="0"/>
    <x v="1"/>
    <x v="0"/>
    <s v="Monitor"/>
    <x v="1"/>
    <n v="10"/>
    <n v="14210"/>
    <n v="13922"/>
    <n v="2585.31"/>
    <n v="0.18193596059113301"/>
  </r>
  <r>
    <s v="2025-09-08"/>
    <x v="6"/>
    <x v="0"/>
    <x v="1"/>
    <x v="1"/>
    <s v="Monitor"/>
    <x v="1"/>
    <n v="5"/>
    <n v="4380"/>
    <n v="6672"/>
    <n v="810.46"/>
    <n v="0.1850365296803653"/>
  </r>
  <r>
    <s v="2025-08-13"/>
    <x v="1"/>
    <x v="0"/>
    <x v="2"/>
    <x v="3"/>
    <s v="Tablet"/>
    <x v="1"/>
    <n v="1"/>
    <n v="502"/>
    <n v="18927"/>
    <n v="82.72"/>
    <n v="0.1647808764940239"/>
  </r>
  <r>
    <s v="2025-04-23"/>
    <x v="9"/>
    <x v="0"/>
    <x v="2"/>
    <x v="2"/>
    <s v="Monitor"/>
    <x v="1"/>
    <n v="16"/>
    <n v="19840"/>
    <n v="11395"/>
    <n v="2344.39"/>
    <n v="0.11816481854838709"/>
  </r>
  <r>
    <s v="2025-10-12"/>
    <x v="10"/>
    <x v="0"/>
    <x v="2"/>
    <x v="3"/>
    <s v="Laptop"/>
    <x v="1"/>
    <n v="8"/>
    <n v="6832"/>
    <n v="7661"/>
    <n v="1941.22"/>
    <n v="0.28413641686182672"/>
  </r>
  <r>
    <s v="2025-09-17"/>
    <x v="6"/>
    <x v="0"/>
    <x v="3"/>
    <x v="1"/>
    <s v="Laptop"/>
    <x v="1"/>
    <n v="2"/>
    <n v="1162"/>
    <n v="9819"/>
    <n v="312.83"/>
    <n v="0.2692168674698795"/>
  </r>
  <r>
    <s v="2025-10-23"/>
    <x v="10"/>
    <x v="0"/>
    <x v="0"/>
    <x v="4"/>
    <s v="Monitor"/>
    <x v="1"/>
    <n v="20"/>
    <n v="4460"/>
    <n v="17330"/>
    <n v="614.22"/>
    <n v="0.13771748878923767"/>
  </r>
  <r>
    <s v="2025-05-26"/>
    <x v="3"/>
    <x v="0"/>
    <x v="1"/>
    <x v="3"/>
    <s v="Printer"/>
    <x v="2"/>
    <n v="6"/>
    <n v="8262"/>
    <n v="10428"/>
    <n v="1563.5"/>
    <n v="0.18923989348825951"/>
  </r>
  <r>
    <s v="2025-04-15"/>
    <x v="9"/>
    <x v="0"/>
    <x v="0"/>
    <x v="2"/>
    <s v="Laptop"/>
    <x v="1"/>
    <n v="12"/>
    <n v="10320"/>
    <n v="9111"/>
    <n v="2605.34"/>
    <n v="0.25245542635658919"/>
  </r>
  <r>
    <s v="2025-04-12"/>
    <x v="9"/>
    <x v="0"/>
    <x v="1"/>
    <x v="1"/>
    <s v="Phone"/>
    <x v="1"/>
    <n v="14"/>
    <n v="8764"/>
    <n v="9763"/>
    <n v="2480.3200000000002"/>
    <n v="0.2830123231401187"/>
  </r>
  <r>
    <s v="2025-07-04"/>
    <x v="0"/>
    <x v="0"/>
    <x v="2"/>
    <x v="4"/>
    <s v="Monitor"/>
    <x v="1"/>
    <n v="13"/>
    <n v="12077"/>
    <n v="7499"/>
    <n v="2837.85"/>
    <n v="0.23497971350500951"/>
  </r>
  <r>
    <s v="2025-08-10"/>
    <x v="1"/>
    <x v="0"/>
    <x v="3"/>
    <x v="2"/>
    <s v="Printer"/>
    <x v="2"/>
    <n v="20"/>
    <n v="15780"/>
    <n v="17693"/>
    <n v="4714.7700000000004"/>
    <n v="0.2987813688212928"/>
  </r>
  <r>
    <s v="2025-07-17"/>
    <x v="0"/>
    <x v="0"/>
    <x v="3"/>
    <x v="4"/>
    <s v="Printer"/>
    <x v="2"/>
    <n v="7"/>
    <n v="3892"/>
    <n v="8950"/>
    <n v="985.23"/>
    <n v="0.25314234326824253"/>
  </r>
  <r>
    <s v="2025-11-20"/>
    <x v="2"/>
    <x v="0"/>
    <x v="0"/>
    <x v="4"/>
    <s v="Tablet"/>
    <x v="1"/>
    <n v="17"/>
    <n v="15895"/>
    <n v="16988"/>
    <n v="3612.67"/>
    <n v="0.22728342245989305"/>
  </r>
  <r>
    <s v="2025-04-01"/>
    <x v="9"/>
    <x v="0"/>
    <x v="3"/>
    <x v="0"/>
    <s v="Printer"/>
    <x v="2"/>
    <n v="19"/>
    <n v="13433"/>
    <n v="17958"/>
    <n v="3995.37"/>
    <n v="0.29742946475098636"/>
  </r>
  <r>
    <s v="2025-06-19"/>
    <x v="4"/>
    <x v="0"/>
    <x v="0"/>
    <x v="4"/>
    <s v="Laptop"/>
    <x v="1"/>
    <n v="17"/>
    <n v="23715"/>
    <n v="11056"/>
    <n v="6022.9"/>
    <n v="0.25397006114273663"/>
  </r>
  <r>
    <s v="2025-01-14"/>
    <x v="5"/>
    <x v="0"/>
    <x v="2"/>
    <x v="1"/>
    <s v="Tablet"/>
    <x v="1"/>
    <n v="18"/>
    <n v="5022"/>
    <n v="14686"/>
    <n v="584.72"/>
    <n v="0.11643170051772203"/>
  </r>
  <r>
    <s v="2025-07-24"/>
    <x v="0"/>
    <x v="0"/>
    <x v="2"/>
    <x v="1"/>
    <s v="Phone"/>
    <x v="1"/>
    <n v="6"/>
    <n v="1944"/>
    <n v="7781"/>
    <n v="325.02"/>
    <n v="0.16719135802469134"/>
  </r>
  <r>
    <s v="2025-04-21"/>
    <x v="9"/>
    <x v="0"/>
    <x v="0"/>
    <x v="3"/>
    <s v="Desk Chair"/>
    <x v="0"/>
    <n v="16"/>
    <n v="6304"/>
    <n v="13043"/>
    <n v="1287.74"/>
    <n v="0.20427347715736041"/>
  </r>
  <r>
    <s v="2025-07-16"/>
    <x v="0"/>
    <x v="0"/>
    <x v="1"/>
    <x v="0"/>
    <s v="Desk Chair"/>
    <x v="0"/>
    <n v="7"/>
    <n v="8554"/>
    <n v="18726"/>
    <n v="1383.65"/>
    <n v="0.16175473462707507"/>
  </r>
  <r>
    <s v="2025-11-07"/>
    <x v="2"/>
    <x v="0"/>
    <x v="0"/>
    <x v="1"/>
    <s v="Tablet"/>
    <x v="1"/>
    <n v="3"/>
    <n v="2787"/>
    <n v="7519"/>
    <n v="480.65"/>
    <n v="0.17246142805884462"/>
  </r>
  <r>
    <s v="2025-05-13"/>
    <x v="3"/>
    <x v="0"/>
    <x v="1"/>
    <x v="2"/>
    <s v="Desk Chair"/>
    <x v="0"/>
    <n v="2"/>
    <n v="590"/>
    <n v="6700"/>
    <n v="103.19"/>
    <n v="0.17489830508474577"/>
  </r>
  <r>
    <s v="2025-06-11"/>
    <x v="4"/>
    <x v="0"/>
    <x v="0"/>
    <x v="2"/>
    <s v="Laptop"/>
    <x v="1"/>
    <n v="12"/>
    <n v="12792"/>
    <n v="17840"/>
    <n v="2096.06"/>
    <n v="0.16385709818636648"/>
  </r>
  <r>
    <s v="2025-05-11"/>
    <x v="3"/>
    <x v="0"/>
    <x v="1"/>
    <x v="4"/>
    <s v="Tablet"/>
    <x v="1"/>
    <n v="15"/>
    <n v="13680"/>
    <n v="7045"/>
    <n v="2944.1"/>
    <n v="0.21521198830409355"/>
  </r>
  <r>
    <s v="2025-06-13"/>
    <x v="4"/>
    <x v="0"/>
    <x v="1"/>
    <x v="1"/>
    <s v="Printer"/>
    <x v="2"/>
    <n v="15"/>
    <n v="20160"/>
    <n v="18340"/>
    <n v="3757.56"/>
    <n v="0.18638690476190475"/>
  </r>
  <r>
    <s v="2025-09-12"/>
    <x v="6"/>
    <x v="0"/>
    <x v="1"/>
    <x v="4"/>
    <s v="Phone"/>
    <x v="1"/>
    <n v="12"/>
    <n v="3972"/>
    <n v="10018"/>
    <n v="1154.56"/>
    <n v="0.29067472306143"/>
  </r>
  <r>
    <s v="2025-04-16"/>
    <x v="9"/>
    <x v="0"/>
    <x v="0"/>
    <x v="4"/>
    <s v="Laptop"/>
    <x v="1"/>
    <n v="10"/>
    <n v="10640"/>
    <n v="15778"/>
    <n v="3096.87"/>
    <n v="0.29105921052631578"/>
  </r>
  <r>
    <s v="2025-03-28"/>
    <x v="7"/>
    <x v="0"/>
    <x v="3"/>
    <x v="4"/>
    <s v="Tablet"/>
    <x v="1"/>
    <n v="3"/>
    <n v="3123"/>
    <n v="5859"/>
    <n v="490.42"/>
    <n v="0.15703490233749601"/>
  </r>
  <r>
    <s v="2025-04-19"/>
    <x v="9"/>
    <x v="0"/>
    <x v="3"/>
    <x v="4"/>
    <s v="Printer"/>
    <x v="2"/>
    <n v="17"/>
    <n v="4641"/>
    <n v="6952"/>
    <n v="908.67"/>
    <n v="0.19579185520361991"/>
  </r>
  <r>
    <s v="2025-04-30"/>
    <x v="9"/>
    <x v="0"/>
    <x v="2"/>
    <x v="0"/>
    <s v="Monitor"/>
    <x v="1"/>
    <n v="18"/>
    <n v="26694"/>
    <n v="13213"/>
    <n v="5144.9399999999996"/>
    <n v="0.19273769386378961"/>
  </r>
  <r>
    <s v="2025-02-18"/>
    <x v="11"/>
    <x v="0"/>
    <x v="2"/>
    <x v="3"/>
    <s v="Desk Chair"/>
    <x v="0"/>
    <n v="3"/>
    <n v="2433"/>
    <n v="5449"/>
    <n v="728.22"/>
    <n v="0.29930949445129473"/>
  </r>
  <r>
    <s v="2025-11-14"/>
    <x v="2"/>
    <x v="0"/>
    <x v="3"/>
    <x v="0"/>
    <s v="Monitor"/>
    <x v="1"/>
    <n v="13"/>
    <n v="2977"/>
    <n v="6429"/>
    <n v="399.99"/>
    <n v="0.13436009405441721"/>
  </r>
  <r>
    <s v="2025-02-21"/>
    <x v="11"/>
    <x v="0"/>
    <x v="1"/>
    <x v="3"/>
    <s v="Monitor"/>
    <x v="1"/>
    <n v="9"/>
    <n v="11952"/>
    <n v="10243"/>
    <n v="1361.37"/>
    <n v="0.11390311244979918"/>
  </r>
  <r>
    <s v="2025-06-26"/>
    <x v="4"/>
    <x v="0"/>
    <x v="2"/>
    <x v="3"/>
    <s v="Laptop"/>
    <x v="1"/>
    <n v="9"/>
    <n v="5535"/>
    <n v="9068"/>
    <n v="651.80999999999995"/>
    <n v="0.11776151761517614"/>
  </r>
  <r>
    <s v="2025-08-18"/>
    <x v="1"/>
    <x v="0"/>
    <x v="1"/>
    <x v="2"/>
    <s v="Phone"/>
    <x v="1"/>
    <n v="1"/>
    <n v="894"/>
    <n v="11721"/>
    <n v="177.8"/>
    <n v="0.19888143176733783"/>
  </r>
  <r>
    <s v="2025-05-23"/>
    <x v="3"/>
    <x v="0"/>
    <x v="1"/>
    <x v="2"/>
    <s v="Laptop"/>
    <x v="1"/>
    <n v="16"/>
    <n v="3168"/>
    <n v="6412"/>
    <n v="366.85"/>
    <n v="0.11579861111111112"/>
  </r>
  <r>
    <s v="2025-10-27"/>
    <x v="10"/>
    <x v="0"/>
    <x v="2"/>
    <x v="1"/>
    <s v="Desk Chair"/>
    <x v="0"/>
    <n v="9"/>
    <n v="10881"/>
    <n v="5296"/>
    <n v="1563.01"/>
    <n v="0.14364580461354653"/>
  </r>
  <r>
    <s v="2025-09-23"/>
    <x v="6"/>
    <x v="0"/>
    <x v="3"/>
    <x v="1"/>
    <s v="Phone"/>
    <x v="1"/>
    <n v="10"/>
    <n v="11360"/>
    <n v="19883"/>
    <n v="2368.6"/>
    <n v="0.20850352112676054"/>
  </r>
  <r>
    <s v="2025-07-29"/>
    <x v="0"/>
    <x v="0"/>
    <x v="0"/>
    <x v="1"/>
    <s v="Laptop"/>
    <x v="1"/>
    <n v="11"/>
    <n v="10769"/>
    <n v="8768"/>
    <n v="1739.01"/>
    <n v="0.16148296034915033"/>
  </r>
  <r>
    <s v="2025-10-02"/>
    <x v="10"/>
    <x v="0"/>
    <x v="2"/>
    <x v="3"/>
    <s v="Laptop"/>
    <x v="1"/>
    <n v="8"/>
    <n v="7952"/>
    <n v="7056"/>
    <n v="1083.3499999999999"/>
    <n v="0.13623616700201205"/>
  </r>
  <r>
    <s v="2025-08-02"/>
    <x v="1"/>
    <x v="0"/>
    <x v="3"/>
    <x v="0"/>
    <s v="Desk Chair"/>
    <x v="0"/>
    <n v="16"/>
    <n v="19424"/>
    <n v="9374"/>
    <n v="5377"/>
    <n v="0.27682248764415157"/>
  </r>
  <r>
    <s v="2025-06-22"/>
    <x v="4"/>
    <x v="0"/>
    <x v="2"/>
    <x v="2"/>
    <s v="Phone"/>
    <x v="1"/>
    <n v="13"/>
    <n v="2652"/>
    <n v="16265"/>
    <n v="378"/>
    <n v="0.1425339366515837"/>
  </r>
  <r>
    <s v="2025-10-20"/>
    <x v="10"/>
    <x v="0"/>
    <x v="1"/>
    <x v="0"/>
    <s v="Tablet"/>
    <x v="1"/>
    <n v="14"/>
    <n v="6930"/>
    <n v="10256"/>
    <n v="827.37"/>
    <n v="0.11938961038961039"/>
  </r>
  <r>
    <s v="2025-02-20"/>
    <x v="11"/>
    <x v="0"/>
    <x v="0"/>
    <x v="0"/>
    <s v="Printer"/>
    <x v="2"/>
    <n v="1"/>
    <n v="448"/>
    <n v="15060"/>
    <n v="97.74"/>
    <n v="0.21816964285714285"/>
  </r>
  <r>
    <s v="2025-07-19"/>
    <x v="0"/>
    <x v="0"/>
    <x v="1"/>
    <x v="4"/>
    <s v="Phone"/>
    <x v="1"/>
    <n v="14"/>
    <n v="5908"/>
    <n v="14806"/>
    <n v="684.1"/>
    <n v="0.11579214624238321"/>
  </r>
  <r>
    <s v="2025-06-16"/>
    <x v="4"/>
    <x v="0"/>
    <x v="2"/>
    <x v="1"/>
    <s v="Laptop"/>
    <x v="1"/>
    <n v="5"/>
    <n v="7330"/>
    <n v="13109"/>
    <n v="1318.55"/>
    <n v="0.17988403819918145"/>
  </r>
  <r>
    <s v="2025-09-26"/>
    <x v="6"/>
    <x v="0"/>
    <x v="3"/>
    <x v="0"/>
    <s v="Phone"/>
    <x v="1"/>
    <n v="15"/>
    <n v="18180"/>
    <n v="15238"/>
    <n v="4131.05"/>
    <n v="0.22723047304730473"/>
  </r>
  <r>
    <s v="2025-06-13"/>
    <x v="4"/>
    <x v="0"/>
    <x v="2"/>
    <x v="2"/>
    <s v="Phone"/>
    <x v="1"/>
    <n v="16"/>
    <n v="13056"/>
    <n v="17754"/>
    <n v="2973.43"/>
    <n v="0.22774433210784312"/>
  </r>
  <r>
    <s v="2025-04-10"/>
    <x v="9"/>
    <x v="0"/>
    <x v="1"/>
    <x v="2"/>
    <s v="Desk Chair"/>
    <x v="0"/>
    <n v="19"/>
    <n v="27987"/>
    <n v="18045"/>
    <n v="6133.88"/>
    <n v="0.21916889984635723"/>
  </r>
  <r>
    <s v="2025-10-15"/>
    <x v="10"/>
    <x v="0"/>
    <x v="1"/>
    <x v="2"/>
    <s v="Tablet"/>
    <x v="1"/>
    <n v="20"/>
    <n v="12320"/>
    <n v="6689"/>
    <n v="3638.53"/>
    <n v="0.29533522727272726"/>
  </r>
  <r>
    <s v="2025-04-16"/>
    <x v="9"/>
    <x v="0"/>
    <x v="1"/>
    <x v="3"/>
    <s v="Desk Chair"/>
    <x v="0"/>
    <n v="5"/>
    <n v="6280"/>
    <n v="9916"/>
    <n v="1133.99"/>
    <n v="0.1805716560509554"/>
  </r>
  <r>
    <s v="2025-07-14"/>
    <x v="0"/>
    <x v="0"/>
    <x v="0"/>
    <x v="3"/>
    <s v="Laptop"/>
    <x v="1"/>
    <n v="7"/>
    <n v="7182"/>
    <n v="13863"/>
    <n v="1039.02"/>
    <n v="0.14467000835421887"/>
  </r>
  <r>
    <s v="2025-01-07"/>
    <x v="5"/>
    <x v="0"/>
    <x v="0"/>
    <x v="1"/>
    <s v="Monitor"/>
    <x v="1"/>
    <n v="8"/>
    <n v="8680"/>
    <n v="18182"/>
    <n v="1514.53"/>
    <n v="0.17448502304147465"/>
  </r>
  <r>
    <s v="2025-02-05"/>
    <x v="11"/>
    <x v="0"/>
    <x v="3"/>
    <x v="2"/>
    <s v="Tablet"/>
    <x v="1"/>
    <n v="14"/>
    <n v="18004"/>
    <n v="10244"/>
    <n v="2915.8"/>
    <n v="0.16195289935569873"/>
  </r>
  <r>
    <s v="2025-10-10"/>
    <x v="10"/>
    <x v="0"/>
    <x v="0"/>
    <x v="2"/>
    <s v="Printer"/>
    <x v="2"/>
    <n v="2"/>
    <n v="1298"/>
    <n v="13642"/>
    <n v="322.92"/>
    <n v="0.24878274268104777"/>
  </r>
  <r>
    <s v="2025-12-05"/>
    <x v="8"/>
    <x v="0"/>
    <x v="0"/>
    <x v="3"/>
    <s v="Desk Chair"/>
    <x v="0"/>
    <n v="16"/>
    <n v="7328"/>
    <n v="5474"/>
    <n v="1488.42"/>
    <n v="0.20311408296943231"/>
  </r>
  <r>
    <s v="2025-07-25"/>
    <x v="0"/>
    <x v="0"/>
    <x v="2"/>
    <x v="4"/>
    <s v="Printer"/>
    <x v="2"/>
    <n v="13"/>
    <n v="4537"/>
    <n v="14932"/>
    <n v="1189.72"/>
    <n v="0.26222614062155608"/>
  </r>
  <r>
    <s v="2025-11-20"/>
    <x v="2"/>
    <x v="0"/>
    <x v="1"/>
    <x v="4"/>
    <s v="Monitor"/>
    <x v="1"/>
    <n v="19"/>
    <n v="6441"/>
    <n v="6055"/>
    <n v="1928.75"/>
    <n v="0.29944884334730631"/>
  </r>
  <r>
    <s v="2025-01-11"/>
    <x v="5"/>
    <x v="0"/>
    <x v="1"/>
    <x v="0"/>
    <s v="Monitor"/>
    <x v="1"/>
    <n v="8"/>
    <n v="5328"/>
    <n v="15139"/>
    <n v="887.26"/>
    <n v="0.16652777777777777"/>
  </r>
  <r>
    <s v="2025-11-05"/>
    <x v="2"/>
    <x v="0"/>
    <x v="3"/>
    <x v="1"/>
    <s v="Laptop"/>
    <x v="1"/>
    <n v="2"/>
    <n v="874"/>
    <n v="19193"/>
    <n v="94.13"/>
    <n v="0.10770022883295194"/>
  </r>
  <r>
    <s v="2025-01-09"/>
    <x v="5"/>
    <x v="0"/>
    <x v="3"/>
    <x v="3"/>
    <s v="Phone"/>
    <x v="1"/>
    <n v="6"/>
    <n v="2118"/>
    <n v="18084"/>
    <n v="518.66999999999996"/>
    <n v="0.24488668555240792"/>
  </r>
  <r>
    <s v="2025-06-06"/>
    <x v="4"/>
    <x v="0"/>
    <x v="2"/>
    <x v="3"/>
    <s v="Desk Chair"/>
    <x v="0"/>
    <n v="18"/>
    <n v="23562"/>
    <n v="7680"/>
    <n v="5865.97"/>
    <n v="0.24895891690009339"/>
  </r>
  <r>
    <s v="2025-03-23"/>
    <x v="7"/>
    <x v="0"/>
    <x v="1"/>
    <x v="1"/>
    <s v="Printer"/>
    <x v="2"/>
    <n v="10"/>
    <n v="11620"/>
    <n v="13402"/>
    <n v="1667.6"/>
    <n v="0.14351118760757314"/>
  </r>
  <r>
    <s v="2025-02-15"/>
    <x v="11"/>
    <x v="0"/>
    <x v="0"/>
    <x v="1"/>
    <s v="Monitor"/>
    <x v="1"/>
    <n v="4"/>
    <n v="3264"/>
    <n v="15092"/>
    <n v="654.24"/>
    <n v="0.20044117647058823"/>
  </r>
  <r>
    <s v="2025-01-14"/>
    <x v="5"/>
    <x v="0"/>
    <x v="0"/>
    <x v="0"/>
    <s v="Printer"/>
    <x v="2"/>
    <n v="12"/>
    <n v="9852"/>
    <n v="5815"/>
    <n v="2324.91"/>
    <n v="0.23598355663824602"/>
  </r>
  <r>
    <s v="2025-08-27"/>
    <x v="1"/>
    <x v="0"/>
    <x v="2"/>
    <x v="1"/>
    <s v="Laptop"/>
    <x v="1"/>
    <n v="5"/>
    <n v="1185"/>
    <n v="9424"/>
    <n v="345.29"/>
    <n v="0.29138396624472573"/>
  </r>
  <r>
    <s v="2025-12-05"/>
    <x v="8"/>
    <x v="0"/>
    <x v="3"/>
    <x v="3"/>
    <s v="Phone"/>
    <x v="1"/>
    <n v="15"/>
    <n v="16740"/>
    <n v="15350"/>
    <n v="1809.79"/>
    <n v="0.10811170848267622"/>
  </r>
  <r>
    <s v="2025-09-09"/>
    <x v="6"/>
    <x v="0"/>
    <x v="2"/>
    <x v="2"/>
    <s v="Desk Chair"/>
    <x v="0"/>
    <n v="11"/>
    <n v="16071"/>
    <n v="16937"/>
    <n v="2724.81"/>
    <n v="0.16954825462012321"/>
  </r>
  <r>
    <s v="2025-08-13"/>
    <x v="1"/>
    <x v="0"/>
    <x v="2"/>
    <x v="3"/>
    <s v="Tablet"/>
    <x v="1"/>
    <n v="12"/>
    <n v="6888"/>
    <n v="11251"/>
    <n v="1601.28"/>
    <n v="0.23247386759581881"/>
  </r>
  <r>
    <s v="2025-07-24"/>
    <x v="0"/>
    <x v="0"/>
    <x v="0"/>
    <x v="2"/>
    <s v="Monitor"/>
    <x v="1"/>
    <n v="7"/>
    <n v="6755"/>
    <n v="13728"/>
    <n v="939.55"/>
    <n v="0.13908956328645447"/>
  </r>
  <r>
    <s v="2025-05-11"/>
    <x v="3"/>
    <x v="0"/>
    <x v="1"/>
    <x v="3"/>
    <s v="Tablet"/>
    <x v="1"/>
    <n v="14"/>
    <n v="6160"/>
    <n v="5618"/>
    <n v="1424.33"/>
    <n v="0.23122240259740259"/>
  </r>
  <r>
    <s v="2025-03-10"/>
    <x v="7"/>
    <x v="0"/>
    <x v="1"/>
    <x v="3"/>
    <s v="Phone"/>
    <x v="1"/>
    <n v="1"/>
    <n v="518"/>
    <n v="16838"/>
    <n v="62.89"/>
    <n v="0.12140926640926641"/>
  </r>
  <r>
    <s v="2025-11-23"/>
    <x v="2"/>
    <x v="0"/>
    <x v="1"/>
    <x v="1"/>
    <s v="Tablet"/>
    <x v="1"/>
    <n v="15"/>
    <n v="9585"/>
    <n v="5096"/>
    <n v="1571.34"/>
    <n v="0.16393740219092331"/>
  </r>
  <r>
    <s v="2025-07-14"/>
    <x v="0"/>
    <x v="0"/>
    <x v="0"/>
    <x v="0"/>
    <s v="Phone"/>
    <x v="1"/>
    <n v="11"/>
    <n v="9229"/>
    <n v="17015"/>
    <n v="2672.37"/>
    <n v="0.28956224943114095"/>
  </r>
  <r>
    <s v="2025-05-09"/>
    <x v="3"/>
    <x v="0"/>
    <x v="1"/>
    <x v="2"/>
    <s v="Laptop"/>
    <x v="1"/>
    <n v="12"/>
    <n v="6288"/>
    <n v="15773"/>
    <n v="1876.92"/>
    <n v="0.29849236641221377"/>
  </r>
  <r>
    <s v="2025-11-12"/>
    <x v="2"/>
    <x v="0"/>
    <x v="3"/>
    <x v="4"/>
    <s v="Monitor"/>
    <x v="1"/>
    <n v="3"/>
    <n v="2676"/>
    <n v="12053"/>
    <n v="268.69"/>
    <n v="0.10040732436472347"/>
  </r>
  <r>
    <s v="2025-01-21"/>
    <x v="5"/>
    <x v="0"/>
    <x v="2"/>
    <x v="1"/>
    <s v="Desk Chair"/>
    <x v="0"/>
    <n v="10"/>
    <n v="6100"/>
    <n v="16492"/>
    <n v="1332.98"/>
    <n v="0.21852131147540985"/>
  </r>
  <r>
    <s v="2025-07-08"/>
    <x v="0"/>
    <x v="0"/>
    <x v="3"/>
    <x v="4"/>
    <s v="Phone"/>
    <x v="1"/>
    <n v="16"/>
    <n v="19824"/>
    <n v="14923"/>
    <n v="2337.12"/>
    <n v="0.11789346246973365"/>
  </r>
  <r>
    <s v="2025-06-28"/>
    <x v="4"/>
    <x v="0"/>
    <x v="0"/>
    <x v="1"/>
    <s v="Monitor"/>
    <x v="1"/>
    <n v="7"/>
    <n v="7707"/>
    <n v="17585"/>
    <n v="2080.1999999999998"/>
    <n v="0.26991047100038923"/>
  </r>
  <r>
    <s v="2025-11-22"/>
    <x v="2"/>
    <x v="0"/>
    <x v="1"/>
    <x v="1"/>
    <s v="Monitor"/>
    <x v="1"/>
    <n v="16"/>
    <n v="3152"/>
    <n v="8786"/>
    <n v="860.17"/>
    <n v="0.27289657360406089"/>
  </r>
  <r>
    <s v="2025-03-22"/>
    <x v="7"/>
    <x v="0"/>
    <x v="0"/>
    <x v="2"/>
    <s v="Desk Chair"/>
    <x v="0"/>
    <n v="8"/>
    <n v="7384"/>
    <n v="13329"/>
    <n v="1844.81"/>
    <n v="0.24983884073672805"/>
  </r>
  <r>
    <s v="2025-04-28"/>
    <x v="9"/>
    <x v="0"/>
    <x v="0"/>
    <x v="2"/>
    <s v="Printer"/>
    <x v="2"/>
    <n v="18"/>
    <n v="23166"/>
    <n v="8833"/>
    <n v="3679.09"/>
    <n v="0.15881421048087715"/>
  </r>
  <r>
    <s v="2025-09-29"/>
    <x v="6"/>
    <x v="0"/>
    <x v="1"/>
    <x v="4"/>
    <s v="Monitor"/>
    <x v="1"/>
    <n v="3"/>
    <n v="1890"/>
    <n v="7012"/>
    <n v="316.16000000000003"/>
    <n v="0.16728042328042331"/>
  </r>
  <r>
    <s v="2025-06-23"/>
    <x v="4"/>
    <x v="0"/>
    <x v="2"/>
    <x v="0"/>
    <s v="Monitor"/>
    <x v="1"/>
    <n v="13"/>
    <n v="8307"/>
    <n v="19659"/>
    <n v="2476.7800000000002"/>
    <n v="0.29815577224027928"/>
  </r>
  <r>
    <s v="2025-04-07"/>
    <x v="9"/>
    <x v="0"/>
    <x v="1"/>
    <x v="4"/>
    <s v="Monitor"/>
    <x v="1"/>
    <n v="20"/>
    <n v="12740"/>
    <n v="9516"/>
    <n v="3674.69"/>
    <n v="0.28843720565149139"/>
  </r>
  <r>
    <s v="2025-04-24"/>
    <x v="9"/>
    <x v="0"/>
    <x v="1"/>
    <x v="1"/>
    <s v="Laptop"/>
    <x v="1"/>
    <n v="8"/>
    <n v="6392"/>
    <n v="19937"/>
    <n v="933.4"/>
    <n v="0.14602628285356695"/>
  </r>
  <r>
    <s v="2025-06-04"/>
    <x v="4"/>
    <x v="0"/>
    <x v="3"/>
    <x v="3"/>
    <s v="Laptop"/>
    <x v="1"/>
    <n v="14"/>
    <n v="20580"/>
    <n v="9455"/>
    <n v="4028.1"/>
    <n v="0.19572886297376094"/>
  </r>
  <r>
    <s v="2025-03-12"/>
    <x v="7"/>
    <x v="0"/>
    <x v="1"/>
    <x v="3"/>
    <s v="Phone"/>
    <x v="1"/>
    <n v="11"/>
    <n v="12881"/>
    <n v="15797"/>
    <n v="2022.2"/>
    <n v="0.15699091685428151"/>
  </r>
  <r>
    <s v="2025-08-28"/>
    <x v="1"/>
    <x v="0"/>
    <x v="2"/>
    <x v="1"/>
    <s v="Monitor"/>
    <x v="1"/>
    <n v="13"/>
    <n v="5057"/>
    <n v="13426"/>
    <n v="1230.27"/>
    <n v="0.24328060114692504"/>
  </r>
  <r>
    <s v="2025-05-08"/>
    <x v="3"/>
    <x v="0"/>
    <x v="1"/>
    <x v="0"/>
    <s v="Tablet"/>
    <x v="1"/>
    <n v="9"/>
    <n v="9657"/>
    <n v="14360"/>
    <n v="1236.1500000000001"/>
    <n v="0.12800559179869525"/>
  </r>
  <r>
    <s v="2025-07-13"/>
    <x v="0"/>
    <x v="0"/>
    <x v="3"/>
    <x v="3"/>
    <s v="Tablet"/>
    <x v="1"/>
    <n v="3"/>
    <n v="3807"/>
    <n v="15261"/>
    <n v="1052.43"/>
    <n v="0.2764460204885737"/>
  </r>
  <r>
    <s v="2025-02-21"/>
    <x v="11"/>
    <x v="0"/>
    <x v="2"/>
    <x v="1"/>
    <s v="Desk Chair"/>
    <x v="0"/>
    <n v="11"/>
    <n v="8723"/>
    <n v="5206"/>
    <n v="1698.5"/>
    <n v="0.19471512094462914"/>
  </r>
  <r>
    <s v="2025-12-20"/>
    <x v="8"/>
    <x v="0"/>
    <x v="1"/>
    <x v="1"/>
    <s v="Laptop"/>
    <x v="1"/>
    <n v="16"/>
    <n v="15904"/>
    <n v="19479"/>
    <n v="4590.6099999999997"/>
    <n v="0.28864499496981888"/>
  </r>
  <r>
    <s v="2025-07-24"/>
    <x v="0"/>
    <x v="0"/>
    <x v="1"/>
    <x v="1"/>
    <s v="Printer"/>
    <x v="2"/>
    <n v="9"/>
    <n v="8496"/>
    <n v="17293"/>
    <n v="2516.7600000000002"/>
    <n v="0.29622881355932207"/>
  </r>
  <r>
    <s v="2025-11-15"/>
    <x v="2"/>
    <x v="0"/>
    <x v="3"/>
    <x v="1"/>
    <s v="Monitor"/>
    <x v="1"/>
    <n v="5"/>
    <n v="6770"/>
    <n v="7479"/>
    <n v="1868.75"/>
    <n v="0.27603397341211228"/>
  </r>
  <r>
    <s v="2025-02-12"/>
    <x v="11"/>
    <x v="0"/>
    <x v="2"/>
    <x v="3"/>
    <s v="Laptop"/>
    <x v="1"/>
    <n v="15"/>
    <n v="7800"/>
    <n v="16269"/>
    <n v="1537.61"/>
    <n v="0.19712948717948717"/>
  </r>
  <r>
    <s v="2025-06-11"/>
    <x v="4"/>
    <x v="0"/>
    <x v="0"/>
    <x v="3"/>
    <s v="Phone"/>
    <x v="1"/>
    <n v="7"/>
    <n v="966"/>
    <n v="11665"/>
    <n v="120.79"/>
    <n v="0.12504140786749482"/>
  </r>
  <r>
    <s v="2025-04-15"/>
    <x v="9"/>
    <x v="0"/>
    <x v="1"/>
    <x v="2"/>
    <s v="Printer"/>
    <x v="2"/>
    <n v="7"/>
    <n v="1078"/>
    <n v="13979"/>
    <n v="114.46"/>
    <n v="0.10617810760667903"/>
  </r>
  <r>
    <s v="2025-10-01"/>
    <x v="10"/>
    <x v="0"/>
    <x v="2"/>
    <x v="4"/>
    <s v="Tablet"/>
    <x v="1"/>
    <n v="11"/>
    <n v="15400"/>
    <n v="7340"/>
    <n v="3911.75"/>
    <n v="0.25400974025974027"/>
  </r>
  <r>
    <s v="2025-10-20"/>
    <x v="10"/>
    <x v="0"/>
    <x v="0"/>
    <x v="4"/>
    <s v="Printer"/>
    <x v="2"/>
    <n v="18"/>
    <n v="8874"/>
    <n v="19888"/>
    <n v="2594.65"/>
    <n v="0.29238787469010596"/>
  </r>
  <r>
    <s v="2025-03-27"/>
    <x v="7"/>
    <x v="0"/>
    <x v="3"/>
    <x v="1"/>
    <s v="Laptop"/>
    <x v="1"/>
    <n v="2"/>
    <n v="596"/>
    <n v="8676"/>
    <n v="66.67"/>
    <n v="0.11186241610738255"/>
  </r>
  <r>
    <s v="2025-10-03"/>
    <x v="10"/>
    <x v="0"/>
    <x v="1"/>
    <x v="4"/>
    <s v="Laptop"/>
    <x v="1"/>
    <n v="4"/>
    <n v="3916"/>
    <n v="17854"/>
    <n v="528.99"/>
    <n v="0.13508426966292136"/>
  </r>
  <r>
    <s v="2025-09-24"/>
    <x v="6"/>
    <x v="0"/>
    <x v="3"/>
    <x v="3"/>
    <s v="Desk Chair"/>
    <x v="0"/>
    <n v="8"/>
    <n v="10640"/>
    <n v="18313"/>
    <n v="2169.64"/>
    <n v="0.20391353383458646"/>
  </r>
  <r>
    <s v="2025-01-26"/>
    <x v="5"/>
    <x v="0"/>
    <x v="2"/>
    <x v="4"/>
    <s v="Printer"/>
    <x v="2"/>
    <n v="6"/>
    <n v="3840"/>
    <n v="8985"/>
    <n v="1142.19"/>
    <n v="0.2974453125"/>
  </r>
  <r>
    <s v="2025-02-18"/>
    <x v="11"/>
    <x v="0"/>
    <x v="0"/>
    <x v="1"/>
    <s v="Tablet"/>
    <x v="1"/>
    <n v="15"/>
    <n v="14985"/>
    <n v="11374"/>
    <n v="3809.98"/>
    <n v="0.2542529195862529"/>
  </r>
  <r>
    <s v="2025-11-04"/>
    <x v="2"/>
    <x v="0"/>
    <x v="3"/>
    <x v="2"/>
    <s v="Monitor"/>
    <x v="1"/>
    <n v="17"/>
    <n v="6749"/>
    <n v="19042"/>
    <n v="1799.69"/>
    <n v="0.26666024596236482"/>
  </r>
  <r>
    <s v="2025-06-02"/>
    <x v="4"/>
    <x v="0"/>
    <x v="2"/>
    <x v="2"/>
    <s v="Phone"/>
    <x v="1"/>
    <n v="12"/>
    <n v="11760"/>
    <n v="16633"/>
    <n v="2715.76"/>
    <n v="0.23093197278911567"/>
  </r>
  <r>
    <s v="2025-06-19"/>
    <x v="4"/>
    <x v="0"/>
    <x v="3"/>
    <x v="1"/>
    <s v="Printer"/>
    <x v="2"/>
    <n v="13"/>
    <n v="2405"/>
    <n v="17892"/>
    <n v="517.25"/>
    <n v="0.21507276507276507"/>
  </r>
  <r>
    <s v="2025-07-23"/>
    <x v="0"/>
    <x v="0"/>
    <x v="1"/>
    <x v="0"/>
    <s v="Phone"/>
    <x v="1"/>
    <n v="5"/>
    <n v="1020"/>
    <n v="11544"/>
    <n v="221"/>
    <n v="0.21666666666666667"/>
  </r>
  <r>
    <s v="2025-06-15"/>
    <x v="4"/>
    <x v="0"/>
    <x v="2"/>
    <x v="3"/>
    <s v="Tablet"/>
    <x v="1"/>
    <n v="8"/>
    <n v="2992"/>
    <n v="13985"/>
    <n v="481.46"/>
    <n v="0.16091577540106952"/>
  </r>
  <r>
    <s v="2025-02-24"/>
    <x v="11"/>
    <x v="0"/>
    <x v="0"/>
    <x v="2"/>
    <s v="Monitor"/>
    <x v="1"/>
    <n v="2"/>
    <n v="1578"/>
    <n v="18501"/>
    <n v="272.81"/>
    <n v="0.17288339670468947"/>
  </r>
  <r>
    <s v="2025-10-25"/>
    <x v="10"/>
    <x v="0"/>
    <x v="2"/>
    <x v="3"/>
    <s v="Phone"/>
    <x v="1"/>
    <n v="4"/>
    <n v="3236"/>
    <n v="17012"/>
    <n v="334.05"/>
    <n v="0.10322929542645241"/>
  </r>
  <r>
    <s v="2025-07-10"/>
    <x v="0"/>
    <x v="0"/>
    <x v="1"/>
    <x v="0"/>
    <s v="Laptop"/>
    <x v="1"/>
    <n v="4"/>
    <n v="1624"/>
    <n v="13074"/>
    <n v="410.42"/>
    <n v="0.25272167487684732"/>
  </r>
  <r>
    <s v="2025-03-29"/>
    <x v="7"/>
    <x v="0"/>
    <x v="0"/>
    <x v="1"/>
    <s v="Phone"/>
    <x v="1"/>
    <n v="10"/>
    <n v="6480"/>
    <n v="14092"/>
    <n v="1089.6099999999999"/>
    <n v="0.16814969135802468"/>
  </r>
  <r>
    <s v="2025-11-17"/>
    <x v="2"/>
    <x v="0"/>
    <x v="0"/>
    <x v="1"/>
    <s v="Printer"/>
    <x v="2"/>
    <n v="2"/>
    <n v="1172"/>
    <n v="10207"/>
    <n v="326.92"/>
    <n v="0.2789419795221843"/>
  </r>
  <r>
    <s v="2025-11-15"/>
    <x v="2"/>
    <x v="0"/>
    <x v="3"/>
    <x v="3"/>
    <s v="Phone"/>
    <x v="1"/>
    <n v="12"/>
    <n v="13596"/>
    <n v="6876"/>
    <n v="3219.1"/>
    <n v="0.23676816710797294"/>
  </r>
  <r>
    <s v="2025-10-26"/>
    <x v="10"/>
    <x v="0"/>
    <x v="2"/>
    <x v="1"/>
    <s v="Laptop"/>
    <x v="1"/>
    <n v="10"/>
    <n v="10330"/>
    <n v="7429"/>
    <n v="1531.98"/>
    <n v="0.14830396902226525"/>
  </r>
  <r>
    <s v="2025-05-24"/>
    <x v="3"/>
    <x v="0"/>
    <x v="1"/>
    <x v="2"/>
    <s v="Laptop"/>
    <x v="1"/>
    <n v="14"/>
    <n v="7546"/>
    <n v="9956"/>
    <n v="1693.67"/>
    <n v="0.2244460641399417"/>
  </r>
  <r>
    <s v="2025-06-06"/>
    <x v="4"/>
    <x v="0"/>
    <x v="3"/>
    <x v="2"/>
    <s v="Monitor"/>
    <x v="1"/>
    <n v="19"/>
    <n v="26144"/>
    <n v="19565"/>
    <n v="7064.89"/>
    <n v="0.27022988066095471"/>
  </r>
  <r>
    <s v="2025-05-31"/>
    <x v="3"/>
    <x v="0"/>
    <x v="0"/>
    <x v="3"/>
    <s v="Laptop"/>
    <x v="1"/>
    <n v="9"/>
    <n v="1170"/>
    <n v="14076"/>
    <n v="263.51"/>
    <n v="0.22522222222222221"/>
  </r>
  <r>
    <s v="2025-12-19"/>
    <x v="8"/>
    <x v="0"/>
    <x v="2"/>
    <x v="3"/>
    <s v="Tablet"/>
    <x v="1"/>
    <n v="5"/>
    <n v="5985"/>
    <n v="14754"/>
    <n v="1508.43"/>
    <n v="0.25203508771929828"/>
  </r>
  <r>
    <s v="2025-10-27"/>
    <x v="10"/>
    <x v="0"/>
    <x v="1"/>
    <x v="3"/>
    <s v="Phone"/>
    <x v="1"/>
    <n v="19"/>
    <n v="18639"/>
    <n v="17402"/>
    <n v="2037.52"/>
    <n v="0.10931487740758625"/>
  </r>
  <r>
    <s v="2025-02-02"/>
    <x v="11"/>
    <x v="0"/>
    <x v="3"/>
    <x v="3"/>
    <s v="Phone"/>
    <x v="1"/>
    <n v="14"/>
    <n v="9842"/>
    <n v="7914"/>
    <n v="1154.51"/>
    <n v="0.11730440967283072"/>
  </r>
  <r>
    <s v="2025-04-11"/>
    <x v="9"/>
    <x v="0"/>
    <x v="3"/>
    <x v="1"/>
    <s v="Desk Chair"/>
    <x v="0"/>
    <n v="20"/>
    <n v="15200"/>
    <n v="10301"/>
    <n v="1767.76"/>
    <n v="0.1163"/>
  </r>
  <r>
    <s v="2025-06-24"/>
    <x v="4"/>
    <x v="0"/>
    <x v="0"/>
    <x v="0"/>
    <s v="Desk Chair"/>
    <x v="0"/>
    <n v="11"/>
    <n v="2904"/>
    <n v="12849"/>
    <n v="535.53"/>
    <n v="0.18441115702479338"/>
  </r>
  <r>
    <s v="2025-08-06"/>
    <x v="1"/>
    <x v="0"/>
    <x v="2"/>
    <x v="0"/>
    <s v="Phone"/>
    <x v="1"/>
    <n v="9"/>
    <n v="8181"/>
    <n v="9830"/>
    <n v="1373.71"/>
    <n v="0.16791468035692458"/>
  </r>
  <r>
    <s v="2025-07-18"/>
    <x v="0"/>
    <x v="0"/>
    <x v="0"/>
    <x v="4"/>
    <s v="Desk Chair"/>
    <x v="0"/>
    <n v="14"/>
    <n v="10206"/>
    <n v="19308"/>
    <n v="1593.95"/>
    <n v="0.156177738585146"/>
  </r>
  <r>
    <s v="2025-03-11"/>
    <x v="7"/>
    <x v="0"/>
    <x v="3"/>
    <x v="0"/>
    <s v="Monitor"/>
    <x v="1"/>
    <n v="16"/>
    <n v="2576"/>
    <n v="14861"/>
    <n v="647.97"/>
    <n v="0.25154114906832298"/>
  </r>
  <r>
    <s v="2025-11-28"/>
    <x v="2"/>
    <x v="0"/>
    <x v="0"/>
    <x v="3"/>
    <s v="Monitor"/>
    <x v="1"/>
    <n v="14"/>
    <n v="16562"/>
    <n v="14113"/>
    <n v="3014.25"/>
    <n v="0.1819979471078372"/>
  </r>
  <r>
    <s v="2025-04-02"/>
    <x v="9"/>
    <x v="0"/>
    <x v="2"/>
    <x v="3"/>
    <s v="Monitor"/>
    <x v="1"/>
    <n v="15"/>
    <n v="14835"/>
    <n v="13020"/>
    <n v="1730.35"/>
    <n v="0.11663970340411189"/>
  </r>
  <r>
    <s v="2025-11-03"/>
    <x v="2"/>
    <x v="0"/>
    <x v="1"/>
    <x v="1"/>
    <s v="Printer"/>
    <x v="2"/>
    <n v="2"/>
    <n v="856"/>
    <n v="5134"/>
    <n v="145.41"/>
    <n v="0.1698714953271028"/>
  </r>
  <r>
    <s v="2025-10-12"/>
    <x v="10"/>
    <x v="0"/>
    <x v="1"/>
    <x v="1"/>
    <s v="Tablet"/>
    <x v="1"/>
    <n v="19"/>
    <n v="23009"/>
    <n v="7904"/>
    <n v="6523.36"/>
    <n v="0.283513407796949"/>
  </r>
  <r>
    <s v="2025-04-15"/>
    <x v="9"/>
    <x v="0"/>
    <x v="3"/>
    <x v="2"/>
    <s v="Monitor"/>
    <x v="1"/>
    <n v="16"/>
    <n v="4176"/>
    <n v="10281"/>
    <n v="694.24"/>
    <n v="0.16624521072796936"/>
  </r>
  <r>
    <s v="2025-03-19"/>
    <x v="7"/>
    <x v="0"/>
    <x v="2"/>
    <x v="0"/>
    <s v="Desk Chair"/>
    <x v="0"/>
    <n v="16"/>
    <n v="6464"/>
    <n v="6516"/>
    <n v="1855.73"/>
    <n v="0.28708694306930693"/>
  </r>
  <r>
    <s v="2025-12-08"/>
    <x v="8"/>
    <x v="0"/>
    <x v="3"/>
    <x v="4"/>
    <s v="Printer"/>
    <x v="2"/>
    <n v="7"/>
    <n v="8862"/>
    <n v="13552"/>
    <n v="1946.87"/>
    <n v="0.21968742947415931"/>
  </r>
  <r>
    <s v="2025-07-25"/>
    <x v="0"/>
    <x v="0"/>
    <x v="3"/>
    <x v="3"/>
    <s v="Laptop"/>
    <x v="1"/>
    <n v="16"/>
    <n v="19200"/>
    <n v="10249"/>
    <n v="2268.42"/>
    <n v="0.118146875"/>
  </r>
  <r>
    <s v="2025-07-22"/>
    <x v="0"/>
    <x v="0"/>
    <x v="3"/>
    <x v="3"/>
    <s v="Monitor"/>
    <x v="1"/>
    <n v="12"/>
    <n v="17868"/>
    <n v="12146"/>
    <n v="4072.94"/>
    <n v="0.22794604880232819"/>
  </r>
  <r>
    <s v="2025-08-11"/>
    <x v="1"/>
    <x v="0"/>
    <x v="3"/>
    <x v="4"/>
    <s v="Phone"/>
    <x v="1"/>
    <n v="11"/>
    <n v="15180"/>
    <n v="15987"/>
    <n v="2586.14"/>
    <n v="0.17036495388669301"/>
  </r>
  <r>
    <s v="2025-02-01"/>
    <x v="11"/>
    <x v="0"/>
    <x v="1"/>
    <x v="3"/>
    <s v="Desk Chair"/>
    <x v="0"/>
    <n v="3"/>
    <n v="3420"/>
    <n v="16855"/>
    <n v="833.32"/>
    <n v="0.2436608187134503"/>
  </r>
  <r>
    <s v="2025-12-24"/>
    <x v="8"/>
    <x v="0"/>
    <x v="0"/>
    <x v="4"/>
    <s v="Desk Chair"/>
    <x v="0"/>
    <n v="7"/>
    <n v="3290"/>
    <n v="12433"/>
    <n v="891.13"/>
    <n v="0.27086018237082066"/>
  </r>
  <r>
    <s v="2025-06-05"/>
    <x v="4"/>
    <x v="0"/>
    <x v="2"/>
    <x v="3"/>
    <s v="Desk Chair"/>
    <x v="0"/>
    <n v="8"/>
    <n v="5416"/>
    <n v="17440"/>
    <n v="979.95"/>
    <n v="0.18093611521418021"/>
  </r>
  <r>
    <s v="2025-05-13"/>
    <x v="3"/>
    <x v="0"/>
    <x v="0"/>
    <x v="2"/>
    <s v="Desk Chair"/>
    <x v="0"/>
    <n v="8"/>
    <n v="10760"/>
    <n v="16463"/>
    <n v="1577.88"/>
    <n v="0.14664312267657995"/>
  </r>
  <r>
    <s v="2025-06-30"/>
    <x v="4"/>
    <x v="0"/>
    <x v="0"/>
    <x v="4"/>
    <s v="Laptop"/>
    <x v="1"/>
    <n v="11"/>
    <n v="1331"/>
    <n v="16830"/>
    <n v="261.23"/>
    <n v="0.19626596543951919"/>
  </r>
  <r>
    <s v="2025-04-25"/>
    <x v="9"/>
    <x v="0"/>
    <x v="1"/>
    <x v="2"/>
    <s v="Phone"/>
    <x v="1"/>
    <n v="2"/>
    <n v="1796"/>
    <n v="6363"/>
    <n v="334.63"/>
    <n v="0.1863195991091314"/>
  </r>
  <r>
    <s v="2025-02-24"/>
    <x v="11"/>
    <x v="0"/>
    <x v="2"/>
    <x v="3"/>
    <s v="Laptop"/>
    <x v="1"/>
    <n v="12"/>
    <n v="5820"/>
    <n v="15409"/>
    <n v="993.49"/>
    <n v="0.17070274914089348"/>
  </r>
  <r>
    <s v="2025-02-07"/>
    <x v="11"/>
    <x v="0"/>
    <x v="2"/>
    <x v="4"/>
    <s v="Monitor"/>
    <x v="1"/>
    <n v="3"/>
    <n v="2385"/>
    <n v="11262"/>
    <n v="648.29"/>
    <n v="0.27181970649895176"/>
  </r>
  <r>
    <s v="2025-08-26"/>
    <x v="1"/>
    <x v="0"/>
    <x v="2"/>
    <x v="0"/>
    <s v="Laptop"/>
    <x v="1"/>
    <n v="13"/>
    <n v="18213"/>
    <n v="13735"/>
    <n v="3341.5"/>
    <n v="0.18346785263273485"/>
  </r>
  <r>
    <s v="2025-05-20"/>
    <x v="3"/>
    <x v="0"/>
    <x v="0"/>
    <x v="4"/>
    <s v="Tablet"/>
    <x v="1"/>
    <n v="17"/>
    <n v="6052"/>
    <n v="15322"/>
    <n v="857.05"/>
    <n v="0.14161434236615994"/>
  </r>
  <r>
    <s v="2025-04-18"/>
    <x v="9"/>
    <x v="0"/>
    <x v="1"/>
    <x v="2"/>
    <s v="Printer"/>
    <x v="2"/>
    <n v="19"/>
    <n v="27911"/>
    <n v="11818"/>
    <n v="7857"/>
    <n v="0.28150191680699366"/>
  </r>
  <r>
    <s v="2025-04-26"/>
    <x v="9"/>
    <x v="0"/>
    <x v="3"/>
    <x v="3"/>
    <s v="Desk Chair"/>
    <x v="0"/>
    <n v="15"/>
    <n v="7830"/>
    <n v="12272"/>
    <n v="1628.43"/>
    <n v="0.20797318007662835"/>
  </r>
  <r>
    <s v="2025-01-08"/>
    <x v="5"/>
    <x v="0"/>
    <x v="0"/>
    <x v="3"/>
    <s v="Desk Chair"/>
    <x v="0"/>
    <n v="4"/>
    <n v="1232"/>
    <n v="14389"/>
    <n v="221.74"/>
    <n v="0.17998376623376625"/>
  </r>
  <r>
    <s v="2025-05-30"/>
    <x v="3"/>
    <x v="0"/>
    <x v="3"/>
    <x v="2"/>
    <s v="Desk Chair"/>
    <x v="0"/>
    <n v="6"/>
    <n v="2430"/>
    <n v="17081"/>
    <n v="687.51"/>
    <n v="0.28292592592592591"/>
  </r>
  <r>
    <s v="2025-07-26"/>
    <x v="0"/>
    <x v="0"/>
    <x v="3"/>
    <x v="2"/>
    <s v="Printer"/>
    <x v="2"/>
    <n v="17"/>
    <n v="15555"/>
    <n v="13763"/>
    <n v="3203.53"/>
    <n v="0.20594856959177116"/>
  </r>
  <r>
    <s v="2025-07-29"/>
    <x v="0"/>
    <x v="0"/>
    <x v="2"/>
    <x v="4"/>
    <s v="Monitor"/>
    <x v="1"/>
    <n v="19"/>
    <n v="7030"/>
    <n v="13107"/>
    <n v="1211.54"/>
    <n v="0.17233854907539117"/>
  </r>
  <r>
    <s v="2025-04-12"/>
    <x v="9"/>
    <x v="0"/>
    <x v="0"/>
    <x v="4"/>
    <s v="Monitor"/>
    <x v="1"/>
    <n v="7"/>
    <n v="8806"/>
    <n v="7610"/>
    <n v="2464.3000000000002"/>
    <n v="0.27984328866681812"/>
  </r>
  <r>
    <s v="2025-12-05"/>
    <x v="8"/>
    <x v="0"/>
    <x v="0"/>
    <x v="3"/>
    <s v="Monitor"/>
    <x v="1"/>
    <n v="3"/>
    <n v="384"/>
    <n v="11445"/>
    <n v="114.86"/>
    <n v="0.29911458333333335"/>
  </r>
  <r>
    <s v="2025-01-27"/>
    <x v="5"/>
    <x v="0"/>
    <x v="2"/>
    <x v="0"/>
    <s v="Desk Chair"/>
    <x v="0"/>
    <n v="4"/>
    <n v="1640"/>
    <n v="6012"/>
    <n v="289.51"/>
    <n v="0.17653048780487804"/>
  </r>
  <r>
    <s v="2025-10-24"/>
    <x v="10"/>
    <x v="0"/>
    <x v="3"/>
    <x v="2"/>
    <s v="Printer"/>
    <x v="2"/>
    <n v="17"/>
    <n v="3740"/>
    <n v="17882"/>
    <n v="1097.51"/>
    <n v="0.29345187165775399"/>
  </r>
  <r>
    <s v="2025-04-23"/>
    <x v="9"/>
    <x v="0"/>
    <x v="2"/>
    <x v="1"/>
    <s v="Laptop"/>
    <x v="1"/>
    <n v="18"/>
    <n v="5706"/>
    <n v="12814"/>
    <n v="1475.91"/>
    <n v="0.25865930599369086"/>
  </r>
  <r>
    <s v="2025-09-18"/>
    <x v="6"/>
    <x v="0"/>
    <x v="2"/>
    <x v="4"/>
    <s v="Phone"/>
    <x v="1"/>
    <n v="16"/>
    <n v="17248"/>
    <n v="8112"/>
    <n v="2209.35"/>
    <n v="0.12809311224489794"/>
  </r>
  <r>
    <s v="2025-04-06"/>
    <x v="9"/>
    <x v="0"/>
    <x v="0"/>
    <x v="0"/>
    <s v="Phone"/>
    <x v="1"/>
    <n v="11"/>
    <n v="5500"/>
    <n v="17374"/>
    <n v="597.02"/>
    <n v="0.1085490909090909"/>
  </r>
  <r>
    <s v="2025-08-26"/>
    <x v="1"/>
    <x v="0"/>
    <x v="3"/>
    <x v="2"/>
    <s v="Phone"/>
    <x v="1"/>
    <n v="18"/>
    <n v="26334"/>
    <n v="7054"/>
    <n v="4025.09"/>
    <n v="0.15284764942659679"/>
  </r>
  <r>
    <s v="2025-05-17"/>
    <x v="3"/>
    <x v="0"/>
    <x v="2"/>
    <x v="2"/>
    <s v="Tablet"/>
    <x v="1"/>
    <n v="5"/>
    <n v="2110"/>
    <n v="17543"/>
    <n v="213.94"/>
    <n v="0.10139336492890995"/>
  </r>
  <r>
    <s v="2025-03-09"/>
    <x v="7"/>
    <x v="0"/>
    <x v="1"/>
    <x v="2"/>
    <s v="Phone"/>
    <x v="1"/>
    <n v="15"/>
    <n v="9120"/>
    <n v="10891"/>
    <n v="1288.6300000000001"/>
    <n v="0.14129714912280703"/>
  </r>
  <r>
    <s v="2025-11-25"/>
    <x v="2"/>
    <x v="0"/>
    <x v="2"/>
    <x v="0"/>
    <s v="Laptop"/>
    <x v="1"/>
    <n v="15"/>
    <n v="13365"/>
    <n v="13752"/>
    <n v="2261.33"/>
    <n v="0.16919790497568274"/>
  </r>
  <r>
    <s v="2025-12-29"/>
    <x v="8"/>
    <x v="0"/>
    <x v="1"/>
    <x v="4"/>
    <s v="Phone"/>
    <x v="1"/>
    <n v="7"/>
    <n v="5264"/>
    <n v="13878"/>
    <n v="683.78"/>
    <n v="0.12989741641337385"/>
  </r>
  <r>
    <s v="2025-04-07"/>
    <x v="9"/>
    <x v="0"/>
    <x v="0"/>
    <x v="3"/>
    <s v="Laptop"/>
    <x v="1"/>
    <n v="5"/>
    <n v="4250"/>
    <n v="6529"/>
    <n v="897.15"/>
    <n v="0.21109411764705882"/>
  </r>
  <r>
    <s v="2025-07-21"/>
    <x v="0"/>
    <x v="0"/>
    <x v="3"/>
    <x v="2"/>
    <s v="Tablet"/>
    <x v="1"/>
    <n v="2"/>
    <n v="2760"/>
    <n v="12775"/>
    <n v="441.16"/>
    <n v="0.15984057971014493"/>
  </r>
  <r>
    <s v="2025-03-09"/>
    <x v="7"/>
    <x v="0"/>
    <x v="2"/>
    <x v="4"/>
    <s v="Monitor"/>
    <x v="1"/>
    <n v="15"/>
    <n v="4710"/>
    <n v="12480"/>
    <n v="867.68"/>
    <n v="0.1842208067940552"/>
  </r>
  <r>
    <s v="2025-07-02"/>
    <x v="0"/>
    <x v="0"/>
    <x v="0"/>
    <x v="3"/>
    <s v="Laptop"/>
    <x v="1"/>
    <n v="18"/>
    <n v="11952"/>
    <n v="12873"/>
    <n v="1254.8800000000001"/>
    <n v="0.10499330655957163"/>
  </r>
  <r>
    <s v="2025-10-05"/>
    <x v="10"/>
    <x v="0"/>
    <x v="3"/>
    <x v="0"/>
    <s v="Desk Chair"/>
    <x v="0"/>
    <n v="6"/>
    <n v="3768"/>
    <n v="6030"/>
    <n v="469.89"/>
    <n v="0.12470541401273885"/>
  </r>
  <r>
    <s v="2025-11-08"/>
    <x v="2"/>
    <x v="0"/>
    <x v="2"/>
    <x v="0"/>
    <s v="Tablet"/>
    <x v="1"/>
    <n v="3"/>
    <n v="3927"/>
    <n v="17295"/>
    <n v="698.89"/>
    <n v="0.17797046091163737"/>
  </r>
  <r>
    <s v="2025-01-16"/>
    <x v="5"/>
    <x v="0"/>
    <x v="0"/>
    <x v="0"/>
    <s v="Printer"/>
    <x v="2"/>
    <n v="5"/>
    <n v="4270"/>
    <n v="9391"/>
    <n v="856.51"/>
    <n v="0.20058782201405151"/>
  </r>
  <r>
    <s v="2025-06-21"/>
    <x v="4"/>
    <x v="0"/>
    <x v="2"/>
    <x v="4"/>
    <s v="Monitor"/>
    <x v="1"/>
    <n v="8"/>
    <n v="1696"/>
    <n v="7451"/>
    <n v="250.25"/>
    <n v="0.14755306603773585"/>
  </r>
  <r>
    <s v="2025-10-21"/>
    <x v="10"/>
    <x v="0"/>
    <x v="1"/>
    <x v="4"/>
    <s v="Phone"/>
    <x v="1"/>
    <n v="3"/>
    <n v="315"/>
    <n v="11125"/>
    <n v="33.96"/>
    <n v="0.10780952380952381"/>
  </r>
  <r>
    <s v="2025-11-20"/>
    <x v="2"/>
    <x v="0"/>
    <x v="2"/>
    <x v="1"/>
    <s v="Monitor"/>
    <x v="1"/>
    <n v="2"/>
    <n v="2788"/>
    <n v="17354"/>
    <n v="602.29"/>
    <n v="0.21602941176470586"/>
  </r>
  <r>
    <s v="2025-04-24"/>
    <x v="9"/>
    <x v="0"/>
    <x v="3"/>
    <x v="1"/>
    <s v="Tablet"/>
    <x v="1"/>
    <n v="8"/>
    <n v="5088"/>
    <n v="19403"/>
    <n v="592.32000000000005"/>
    <n v="0.11641509433962265"/>
  </r>
  <r>
    <s v="2025-08-08"/>
    <x v="1"/>
    <x v="0"/>
    <x v="2"/>
    <x v="1"/>
    <s v="Desk Chair"/>
    <x v="0"/>
    <n v="4"/>
    <n v="2892"/>
    <n v="11818"/>
    <n v="678.54"/>
    <n v="0.23462655601659749"/>
  </r>
  <r>
    <s v="2025-08-02"/>
    <x v="1"/>
    <x v="0"/>
    <x v="0"/>
    <x v="0"/>
    <s v="Printer"/>
    <x v="2"/>
    <n v="18"/>
    <n v="16758"/>
    <n v="6751"/>
    <n v="3820.28"/>
    <n v="0.22796753789234994"/>
  </r>
  <r>
    <s v="2025-11-23"/>
    <x v="2"/>
    <x v="0"/>
    <x v="3"/>
    <x v="0"/>
    <s v="Desk Chair"/>
    <x v="0"/>
    <n v="12"/>
    <n v="8160"/>
    <n v="8170"/>
    <n v="963.6"/>
    <n v="0.11808823529411765"/>
  </r>
  <r>
    <s v="2025-12-07"/>
    <x v="8"/>
    <x v="0"/>
    <x v="2"/>
    <x v="1"/>
    <s v="Printer"/>
    <x v="2"/>
    <n v="13"/>
    <n v="12142"/>
    <n v="9629"/>
    <n v="1623.78"/>
    <n v="0.13373249876461868"/>
  </r>
  <r>
    <s v="2025-12-01"/>
    <x v="8"/>
    <x v="0"/>
    <x v="1"/>
    <x v="3"/>
    <s v="Laptop"/>
    <x v="1"/>
    <n v="15"/>
    <n v="5445"/>
    <n v="9364"/>
    <n v="1368.37"/>
    <n v="0.25130762167125803"/>
  </r>
  <r>
    <s v="2025-12-29"/>
    <x v="8"/>
    <x v="0"/>
    <x v="3"/>
    <x v="0"/>
    <s v="Desk Chair"/>
    <x v="0"/>
    <n v="13"/>
    <n v="9230"/>
    <n v="18359"/>
    <n v="2412.44"/>
    <n v="0.26136944745395452"/>
  </r>
  <r>
    <s v="2025-01-16"/>
    <x v="5"/>
    <x v="0"/>
    <x v="2"/>
    <x v="0"/>
    <s v="Monitor"/>
    <x v="1"/>
    <n v="1"/>
    <n v="1452"/>
    <n v="15052"/>
    <n v="426.31"/>
    <n v="0.29360192837465565"/>
  </r>
  <r>
    <s v="2025-07-09"/>
    <x v="0"/>
    <x v="0"/>
    <x v="0"/>
    <x v="2"/>
    <s v="Tablet"/>
    <x v="1"/>
    <n v="9"/>
    <n v="1359"/>
    <n v="16564"/>
    <n v="264.52999999999997"/>
    <n v="0.19465047829286239"/>
  </r>
  <r>
    <s v="2025-01-03"/>
    <x v="5"/>
    <x v="0"/>
    <x v="1"/>
    <x v="1"/>
    <s v="Monitor"/>
    <x v="1"/>
    <n v="11"/>
    <n v="6655"/>
    <n v="17407"/>
    <n v="974.31"/>
    <n v="0.14640270473328323"/>
  </r>
  <r>
    <s v="2025-09-13"/>
    <x v="6"/>
    <x v="0"/>
    <x v="0"/>
    <x v="4"/>
    <s v="Printer"/>
    <x v="2"/>
    <n v="6"/>
    <n v="2490"/>
    <n v="17937"/>
    <n v="249.91"/>
    <n v="0.10036546184738955"/>
  </r>
  <r>
    <s v="2025-11-22"/>
    <x v="2"/>
    <x v="0"/>
    <x v="1"/>
    <x v="3"/>
    <s v="Tablet"/>
    <x v="1"/>
    <n v="17"/>
    <n v="17867"/>
    <n v="7028"/>
    <n v="3406.78"/>
    <n v="0.19067442771590085"/>
  </r>
  <r>
    <s v="2025-05-06"/>
    <x v="3"/>
    <x v="0"/>
    <x v="2"/>
    <x v="4"/>
    <s v="Monitor"/>
    <x v="1"/>
    <n v="11"/>
    <n v="2915"/>
    <n v="11789"/>
    <n v="533.83000000000004"/>
    <n v="0.18313207547169813"/>
  </r>
  <r>
    <s v="2025-05-13"/>
    <x v="3"/>
    <x v="0"/>
    <x v="2"/>
    <x v="1"/>
    <s v="Monitor"/>
    <x v="1"/>
    <n v="19"/>
    <n v="7277"/>
    <n v="7141"/>
    <n v="923.66"/>
    <n v="0.12692867940085201"/>
  </r>
  <r>
    <s v="2025-01-01"/>
    <x v="5"/>
    <x v="0"/>
    <x v="3"/>
    <x v="3"/>
    <s v="Phone"/>
    <x v="1"/>
    <n v="15"/>
    <n v="10980"/>
    <n v="12321"/>
    <n v="1783.75"/>
    <n v="0.16245446265938068"/>
  </r>
  <r>
    <s v="2025-09-13"/>
    <x v="6"/>
    <x v="0"/>
    <x v="3"/>
    <x v="3"/>
    <s v="Phone"/>
    <x v="1"/>
    <n v="7"/>
    <n v="7098"/>
    <n v="17633"/>
    <n v="1397.46"/>
    <n v="0.19688081149619613"/>
  </r>
  <r>
    <s v="2025-07-26"/>
    <x v="0"/>
    <x v="0"/>
    <x v="1"/>
    <x v="4"/>
    <s v="Phone"/>
    <x v="1"/>
    <n v="12"/>
    <n v="6900"/>
    <n v="5101"/>
    <n v="1734.77"/>
    <n v="0.25141594202898548"/>
  </r>
  <r>
    <s v="2025-11-15"/>
    <x v="2"/>
    <x v="0"/>
    <x v="0"/>
    <x v="2"/>
    <s v="Printer"/>
    <x v="2"/>
    <n v="13"/>
    <n v="17290"/>
    <n v="15223"/>
    <n v="4349.3100000000004"/>
    <n v="0.25155060728744943"/>
  </r>
  <r>
    <s v="2025-10-12"/>
    <x v="10"/>
    <x v="0"/>
    <x v="1"/>
    <x v="3"/>
    <s v="Monitor"/>
    <x v="1"/>
    <n v="19"/>
    <n v="13832"/>
    <n v="8119"/>
    <n v="1957.88"/>
    <n v="0.14154713707345287"/>
  </r>
  <r>
    <s v="2025-12-10"/>
    <x v="8"/>
    <x v="0"/>
    <x v="1"/>
    <x v="3"/>
    <s v="Printer"/>
    <x v="2"/>
    <n v="6"/>
    <n v="3984"/>
    <n v="10710"/>
    <n v="424"/>
    <n v="0.10642570281124498"/>
  </r>
  <r>
    <s v="2025-08-09"/>
    <x v="1"/>
    <x v="0"/>
    <x v="0"/>
    <x v="2"/>
    <s v="Laptop"/>
    <x v="1"/>
    <n v="7"/>
    <n v="3507"/>
    <n v="6670"/>
    <n v="995.79"/>
    <n v="0.28394354148845163"/>
  </r>
  <r>
    <s v="2025-03-27"/>
    <x v="7"/>
    <x v="0"/>
    <x v="1"/>
    <x v="0"/>
    <s v="Tablet"/>
    <x v="1"/>
    <n v="9"/>
    <n v="3627"/>
    <n v="11855"/>
    <n v="951.82"/>
    <n v="0.26242624758753791"/>
  </r>
  <r>
    <s v="2025-11-20"/>
    <x v="2"/>
    <x v="0"/>
    <x v="3"/>
    <x v="1"/>
    <s v="Laptop"/>
    <x v="1"/>
    <n v="15"/>
    <n v="21375"/>
    <n v="14928"/>
    <n v="2410.1"/>
    <n v="0.11275321637426901"/>
  </r>
  <r>
    <s v="2025-08-01"/>
    <x v="1"/>
    <x v="0"/>
    <x v="1"/>
    <x v="0"/>
    <s v="Printer"/>
    <x v="2"/>
    <n v="19"/>
    <n v="10279"/>
    <n v="9634"/>
    <n v="2406.4299999999998"/>
    <n v="0.23411129487304211"/>
  </r>
  <r>
    <s v="2025-03-03"/>
    <x v="7"/>
    <x v="0"/>
    <x v="2"/>
    <x v="1"/>
    <s v="Tablet"/>
    <x v="1"/>
    <n v="18"/>
    <n v="10386"/>
    <n v="10904"/>
    <n v="1283.97"/>
    <n v="0.12362507221259388"/>
  </r>
  <r>
    <s v="2025-07-27"/>
    <x v="0"/>
    <x v="0"/>
    <x v="3"/>
    <x v="2"/>
    <s v="Laptop"/>
    <x v="1"/>
    <n v="1"/>
    <n v="305"/>
    <n v="6788"/>
    <n v="59.59"/>
    <n v="0.19537704918032789"/>
  </r>
  <r>
    <s v="2025-11-30"/>
    <x v="2"/>
    <x v="0"/>
    <x v="2"/>
    <x v="2"/>
    <s v="Phone"/>
    <x v="1"/>
    <n v="20"/>
    <n v="11340"/>
    <n v="15253"/>
    <n v="1393.94"/>
    <n v="0.12292239858906526"/>
  </r>
  <r>
    <s v="2025-11-15"/>
    <x v="2"/>
    <x v="0"/>
    <x v="3"/>
    <x v="0"/>
    <s v="Laptop"/>
    <x v="1"/>
    <n v="11"/>
    <n v="9240"/>
    <n v="13158"/>
    <n v="943.2"/>
    <n v="0.10207792207792209"/>
  </r>
  <r>
    <s v="2025-10-09"/>
    <x v="10"/>
    <x v="0"/>
    <x v="0"/>
    <x v="1"/>
    <s v="Desk Chair"/>
    <x v="0"/>
    <n v="16"/>
    <n v="12352"/>
    <n v="8520"/>
    <n v="1605.89"/>
    <n v="0.13001052461139898"/>
  </r>
  <r>
    <s v="2025-10-27"/>
    <x v="10"/>
    <x v="0"/>
    <x v="0"/>
    <x v="1"/>
    <s v="Laptop"/>
    <x v="1"/>
    <n v="14"/>
    <n v="19516"/>
    <n v="10222"/>
    <n v="2560.4299999999998"/>
    <n v="0.13119645419143267"/>
  </r>
  <r>
    <s v="2025-11-09"/>
    <x v="2"/>
    <x v="0"/>
    <x v="1"/>
    <x v="4"/>
    <s v="Desk Chair"/>
    <x v="0"/>
    <n v="14"/>
    <n v="7098"/>
    <n v="13013"/>
    <n v="1439.65"/>
    <n v="0.20282473936320092"/>
  </r>
  <r>
    <s v="2025-02-21"/>
    <x v="11"/>
    <x v="0"/>
    <x v="0"/>
    <x v="4"/>
    <s v="Desk Chair"/>
    <x v="0"/>
    <n v="6"/>
    <n v="2856"/>
    <n v="11748"/>
    <n v="315.35000000000002"/>
    <n v="0.11041666666666668"/>
  </r>
  <r>
    <s v="2025-05-03"/>
    <x v="3"/>
    <x v="0"/>
    <x v="3"/>
    <x v="0"/>
    <s v="Tablet"/>
    <x v="1"/>
    <n v="20"/>
    <n v="15820"/>
    <n v="15491"/>
    <n v="2276.5700000000002"/>
    <n v="0.14390455120101139"/>
  </r>
  <r>
    <s v="2025-07-06"/>
    <x v="0"/>
    <x v="0"/>
    <x v="2"/>
    <x v="0"/>
    <s v="Phone"/>
    <x v="1"/>
    <n v="9"/>
    <n v="4257"/>
    <n v="16604"/>
    <n v="1153.48"/>
    <n v="0.2709607704956542"/>
  </r>
  <r>
    <s v="2025-03-05"/>
    <x v="7"/>
    <x v="0"/>
    <x v="0"/>
    <x v="4"/>
    <s v="Tablet"/>
    <x v="1"/>
    <n v="20"/>
    <n v="22040"/>
    <n v="11506"/>
    <n v="2231.08"/>
    <n v="0.10122867513611615"/>
  </r>
  <r>
    <s v="2025-09-17"/>
    <x v="6"/>
    <x v="0"/>
    <x v="2"/>
    <x v="4"/>
    <s v="Printer"/>
    <x v="2"/>
    <n v="19"/>
    <n v="9272"/>
    <n v="8309"/>
    <n v="1536.58"/>
    <n v="0.16572260569456426"/>
  </r>
  <r>
    <s v="2025-01-07"/>
    <x v="5"/>
    <x v="0"/>
    <x v="0"/>
    <x v="1"/>
    <s v="Desk Chair"/>
    <x v="0"/>
    <n v="3"/>
    <n v="2832"/>
    <n v="19204"/>
    <n v="487.33"/>
    <n v="0.172079802259887"/>
  </r>
  <r>
    <s v="2025-12-15"/>
    <x v="8"/>
    <x v="0"/>
    <x v="3"/>
    <x v="0"/>
    <s v="Desk Chair"/>
    <x v="0"/>
    <n v="18"/>
    <n v="12618"/>
    <n v="7884"/>
    <n v="3618.03"/>
    <n v="0.28673561578697099"/>
  </r>
  <r>
    <s v="2025-02-03"/>
    <x v="11"/>
    <x v="0"/>
    <x v="2"/>
    <x v="4"/>
    <s v="Monitor"/>
    <x v="1"/>
    <n v="19"/>
    <n v="9196"/>
    <n v="14899"/>
    <n v="1671.31"/>
    <n v="0.18174314919530229"/>
  </r>
  <r>
    <s v="2025-10-23"/>
    <x v="10"/>
    <x v="0"/>
    <x v="1"/>
    <x v="0"/>
    <s v="Phone"/>
    <x v="1"/>
    <n v="4"/>
    <n v="3648"/>
    <n v="11172"/>
    <n v="604.20000000000005"/>
    <n v="0.16562500000000002"/>
  </r>
  <r>
    <s v="2025-02-11"/>
    <x v="11"/>
    <x v="0"/>
    <x v="2"/>
    <x v="2"/>
    <s v="Tablet"/>
    <x v="1"/>
    <n v="2"/>
    <n v="1980"/>
    <n v="16981"/>
    <n v="587.1"/>
    <n v="0.29651515151515151"/>
  </r>
  <r>
    <s v="2025-01-14"/>
    <x v="5"/>
    <x v="0"/>
    <x v="2"/>
    <x v="1"/>
    <s v="Monitor"/>
    <x v="1"/>
    <n v="16"/>
    <n v="22192"/>
    <n v="17309"/>
    <n v="4360.6400000000003"/>
    <n v="0.19649603460706563"/>
  </r>
  <r>
    <s v="2025-06-28"/>
    <x v="4"/>
    <x v="0"/>
    <x v="1"/>
    <x v="3"/>
    <s v="Phone"/>
    <x v="1"/>
    <n v="6"/>
    <n v="2922"/>
    <n v="14683"/>
    <n v="336.51"/>
    <n v="0.11516427104722793"/>
  </r>
  <r>
    <s v="2025-02-09"/>
    <x v="11"/>
    <x v="0"/>
    <x v="3"/>
    <x v="0"/>
    <s v="Desk Chair"/>
    <x v="0"/>
    <n v="6"/>
    <n v="2640"/>
    <n v="19839"/>
    <n v="755.61"/>
    <n v="0.2862159090909091"/>
  </r>
  <r>
    <s v="2025-04-28"/>
    <x v="9"/>
    <x v="0"/>
    <x v="2"/>
    <x v="3"/>
    <s v="Laptop"/>
    <x v="1"/>
    <n v="7"/>
    <n v="3346"/>
    <n v="10708"/>
    <n v="721.6"/>
    <n v="0.2156604901374776"/>
  </r>
  <r>
    <s v="2025-02-01"/>
    <x v="11"/>
    <x v="0"/>
    <x v="0"/>
    <x v="4"/>
    <s v="Laptop"/>
    <x v="1"/>
    <n v="6"/>
    <n v="618"/>
    <n v="8008"/>
    <n v="181"/>
    <n v="0.29288025889967639"/>
  </r>
  <r>
    <s v="2025-11-08"/>
    <x v="2"/>
    <x v="0"/>
    <x v="0"/>
    <x v="0"/>
    <s v="Desk Chair"/>
    <x v="0"/>
    <n v="12"/>
    <n v="3660"/>
    <n v="14743"/>
    <n v="1030.9100000000001"/>
    <n v="0.28166939890710385"/>
  </r>
  <r>
    <s v="2025-06-24"/>
    <x v="4"/>
    <x v="0"/>
    <x v="3"/>
    <x v="1"/>
    <s v="Tablet"/>
    <x v="1"/>
    <n v="1"/>
    <n v="990"/>
    <n v="17955"/>
    <n v="293.66000000000003"/>
    <n v="0.29662626262626263"/>
  </r>
  <r>
    <s v="2025-06-28"/>
    <x v="4"/>
    <x v="0"/>
    <x v="2"/>
    <x v="4"/>
    <s v="Tablet"/>
    <x v="1"/>
    <n v="7"/>
    <n v="8869"/>
    <n v="8106"/>
    <n v="1090.56"/>
    <n v="0.12296313000338256"/>
  </r>
  <r>
    <s v="2025-01-23"/>
    <x v="5"/>
    <x v="0"/>
    <x v="3"/>
    <x v="1"/>
    <s v="Desk Chair"/>
    <x v="0"/>
    <n v="18"/>
    <n v="6588"/>
    <n v="19288"/>
    <n v="1639.82"/>
    <n v="0.24891013964784456"/>
  </r>
  <r>
    <s v="2025-09-18"/>
    <x v="6"/>
    <x v="0"/>
    <x v="2"/>
    <x v="4"/>
    <s v="Laptop"/>
    <x v="1"/>
    <n v="7"/>
    <n v="4081"/>
    <n v="12157"/>
    <n v="1175.75"/>
    <n v="0.28810340602793433"/>
  </r>
  <r>
    <s v="2025-01-03"/>
    <x v="5"/>
    <x v="0"/>
    <x v="3"/>
    <x v="1"/>
    <s v="Printer"/>
    <x v="2"/>
    <n v="12"/>
    <n v="6648"/>
    <n v="18960"/>
    <n v="1191.8800000000001"/>
    <n v="0.17928399518652227"/>
  </r>
  <r>
    <s v="2025-05-06"/>
    <x v="3"/>
    <x v="0"/>
    <x v="3"/>
    <x v="3"/>
    <s v="Phone"/>
    <x v="1"/>
    <n v="4"/>
    <n v="4408"/>
    <n v="11597"/>
    <n v="474.36"/>
    <n v="0.10761343012704175"/>
  </r>
  <r>
    <s v="2025-05-12"/>
    <x v="3"/>
    <x v="0"/>
    <x v="3"/>
    <x v="3"/>
    <s v="Laptop"/>
    <x v="1"/>
    <n v="20"/>
    <n v="16020"/>
    <n v="10854"/>
    <n v="3540.75"/>
    <n v="0.22102059925093634"/>
  </r>
  <r>
    <s v="2025-12-22"/>
    <x v="8"/>
    <x v="0"/>
    <x v="1"/>
    <x v="0"/>
    <s v="Phone"/>
    <x v="1"/>
    <n v="10"/>
    <n v="3350"/>
    <n v="12333"/>
    <n v="995.05"/>
    <n v="0.29702985074626864"/>
  </r>
  <r>
    <s v="2025-07-14"/>
    <x v="0"/>
    <x v="0"/>
    <x v="1"/>
    <x v="0"/>
    <s v="Monitor"/>
    <x v="1"/>
    <n v="3"/>
    <n v="3639"/>
    <n v="17963"/>
    <n v="975.5"/>
    <n v="0.26806815059082167"/>
  </r>
  <r>
    <s v="2025-03-19"/>
    <x v="7"/>
    <x v="0"/>
    <x v="0"/>
    <x v="2"/>
    <s v="Printer"/>
    <x v="2"/>
    <n v="12"/>
    <n v="12912"/>
    <n v="7322"/>
    <n v="2343.29"/>
    <n v="0.18148156753407682"/>
  </r>
  <r>
    <s v="2025-12-22"/>
    <x v="8"/>
    <x v="0"/>
    <x v="0"/>
    <x v="2"/>
    <s v="Laptop"/>
    <x v="1"/>
    <n v="18"/>
    <n v="5994"/>
    <n v="8949"/>
    <n v="1476.78"/>
    <n v="0.24637637637637638"/>
  </r>
  <r>
    <s v="2025-06-30"/>
    <x v="4"/>
    <x v="0"/>
    <x v="2"/>
    <x v="0"/>
    <s v="Laptop"/>
    <x v="1"/>
    <n v="5"/>
    <n v="5430"/>
    <n v="5145"/>
    <n v="1481.75"/>
    <n v="0.27288213627992636"/>
  </r>
  <r>
    <s v="2025-08-19"/>
    <x v="1"/>
    <x v="0"/>
    <x v="1"/>
    <x v="0"/>
    <s v="Desk Chair"/>
    <x v="0"/>
    <n v="7"/>
    <n v="2345"/>
    <n v="18081"/>
    <n v="382.8"/>
    <n v="0.1632409381663113"/>
  </r>
  <r>
    <s v="2025-03-27"/>
    <x v="7"/>
    <x v="0"/>
    <x v="0"/>
    <x v="4"/>
    <s v="Tablet"/>
    <x v="1"/>
    <n v="18"/>
    <n v="10188"/>
    <n v="13953"/>
    <n v="2457.08"/>
    <n v="0.24117393011385943"/>
  </r>
  <r>
    <s v="2025-09-01"/>
    <x v="6"/>
    <x v="0"/>
    <x v="3"/>
    <x v="3"/>
    <s v="Tablet"/>
    <x v="1"/>
    <n v="12"/>
    <n v="7500"/>
    <n v="14676"/>
    <n v="850.89"/>
    <n v="0.113452"/>
  </r>
  <r>
    <s v="2025-09-23"/>
    <x v="6"/>
    <x v="0"/>
    <x v="0"/>
    <x v="3"/>
    <s v="Tablet"/>
    <x v="1"/>
    <n v="16"/>
    <n v="21968"/>
    <n v="15734"/>
    <n v="4613.3500000000004"/>
    <n v="0.2100031864530226"/>
  </r>
  <r>
    <s v="2025-01-19"/>
    <x v="5"/>
    <x v="0"/>
    <x v="1"/>
    <x v="1"/>
    <s v="Desk Chair"/>
    <x v="0"/>
    <n v="19"/>
    <n v="28139"/>
    <n v="19634"/>
    <n v="5147.13"/>
    <n v="0.18291801414407052"/>
  </r>
  <r>
    <s v="2025-02-02"/>
    <x v="11"/>
    <x v="0"/>
    <x v="3"/>
    <x v="1"/>
    <s v="Tablet"/>
    <x v="1"/>
    <n v="20"/>
    <n v="21280"/>
    <n v="7747"/>
    <n v="3652.87"/>
    <n v="0.17165742481203006"/>
  </r>
  <r>
    <s v="2025-07-20"/>
    <x v="0"/>
    <x v="0"/>
    <x v="2"/>
    <x v="1"/>
    <s v="Tablet"/>
    <x v="1"/>
    <n v="2"/>
    <n v="800"/>
    <n v="7008"/>
    <n v="98.09"/>
    <n v="0.1226125"/>
  </r>
  <r>
    <s v="2025-01-06"/>
    <x v="5"/>
    <x v="0"/>
    <x v="1"/>
    <x v="1"/>
    <s v="Printer"/>
    <x v="2"/>
    <n v="8"/>
    <n v="4256"/>
    <n v="8376"/>
    <n v="774.53"/>
    <n v="0.18198543233082706"/>
  </r>
  <r>
    <s v="2025-08-26"/>
    <x v="1"/>
    <x v="0"/>
    <x v="3"/>
    <x v="2"/>
    <s v="Desk Chair"/>
    <x v="0"/>
    <n v="2"/>
    <n v="2634"/>
    <n v="16381"/>
    <n v="381.5"/>
    <n v="0.14483675018982536"/>
  </r>
  <r>
    <s v="2025-06-07"/>
    <x v="4"/>
    <x v="0"/>
    <x v="2"/>
    <x v="2"/>
    <s v="Laptop"/>
    <x v="1"/>
    <n v="8"/>
    <n v="1848"/>
    <n v="13113"/>
    <n v="518.85"/>
    <n v="0.28076298701298702"/>
  </r>
  <r>
    <s v="2025-03-13"/>
    <x v="7"/>
    <x v="0"/>
    <x v="2"/>
    <x v="0"/>
    <s v="Laptop"/>
    <x v="1"/>
    <n v="20"/>
    <n v="27260"/>
    <n v="9140"/>
    <n v="3788.27"/>
    <n v="0.13896808510638298"/>
  </r>
  <r>
    <s v="2025-10-29"/>
    <x v="10"/>
    <x v="0"/>
    <x v="0"/>
    <x v="3"/>
    <s v="Printer"/>
    <x v="2"/>
    <n v="16"/>
    <n v="19136"/>
    <n v="6779"/>
    <n v="4864.01"/>
    <n v="0.25418112458193981"/>
  </r>
  <r>
    <s v="2025-05-29"/>
    <x v="3"/>
    <x v="0"/>
    <x v="0"/>
    <x v="4"/>
    <s v="Printer"/>
    <x v="2"/>
    <n v="11"/>
    <n v="11451"/>
    <n v="5188"/>
    <n v="2590.89"/>
    <n v="0.22625884202253077"/>
  </r>
  <r>
    <s v="2025-02-19"/>
    <x v="11"/>
    <x v="0"/>
    <x v="2"/>
    <x v="4"/>
    <s v="Monitor"/>
    <x v="1"/>
    <n v="13"/>
    <n v="9087"/>
    <n v="7538"/>
    <n v="1982.38"/>
    <n v="0.21815560691097172"/>
  </r>
  <r>
    <s v="2025-10-18"/>
    <x v="10"/>
    <x v="0"/>
    <x v="3"/>
    <x v="1"/>
    <s v="Desk Chair"/>
    <x v="0"/>
    <n v="7"/>
    <n v="5887"/>
    <n v="18640"/>
    <n v="1589.98"/>
    <n v="0.27008323424494651"/>
  </r>
  <r>
    <s v="2025-10-29"/>
    <x v="10"/>
    <x v="0"/>
    <x v="3"/>
    <x v="1"/>
    <s v="Laptop"/>
    <x v="1"/>
    <n v="20"/>
    <n v="15560"/>
    <n v="19977"/>
    <n v="1594.68"/>
    <n v="0.10248586118251929"/>
  </r>
  <r>
    <s v="2025-12-24"/>
    <x v="8"/>
    <x v="0"/>
    <x v="3"/>
    <x v="1"/>
    <s v="Monitor"/>
    <x v="1"/>
    <n v="1"/>
    <n v="593"/>
    <n v="5390"/>
    <n v="117.7"/>
    <n v="0.19848229342327151"/>
  </r>
  <r>
    <s v="2025-02-25"/>
    <x v="11"/>
    <x v="0"/>
    <x v="1"/>
    <x v="4"/>
    <s v="Laptop"/>
    <x v="1"/>
    <n v="18"/>
    <n v="3024"/>
    <n v="6611"/>
    <n v="408.58"/>
    <n v="0.13511243386243385"/>
  </r>
  <r>
    <s v="2025-06-26"/>
    <x v="4"/>
    <x v="0"/>
    <x v="1"/>
    <x v="3"/>
    <s v="Tablet"/>
    <x v="1"/>
    <n v="10"/>
    <n v="10920"/>
    <n v="11968"/>
    <n v="2911.59"/>
    <n v="0.26662912087912088"/>
  </r>
  <r>
    <s v="2025-03-18"/>
    <x v="7"/>
    <x v="0"/>
    <x v="3"/>
    <x v="0"/>
    <s v="Desk Chair"/>
    <x v="0"/>
    <n v="5"/>
    <n v="7345"/>
    <n v="16251"/>
    <n v="1840.53"/>
    <n v="0.25058270932607213"/>
  </r>
  <r>
    <s v="2025-04-30"/>
    <x v="9"/>
    <x v="0"/>
    <x v="1"/>
    <x v="2"/>
    <s v="Tablet"/>
    <x v="1"/>
    <n v="6"/>
    <n v="3180"/>
    <n v="18645"/>
    <n v="482.65"/>
    <n v="0.15177672955974841"/>
  </r>
  <r>
    <s v="2025-03-08"/>
    <x v="7"/>
    <x v="0"/>
    <x v="1"/>
    <x v="3"/>
    <s v="Desk Chair"/>
    <x v="0"/>
    <n v="19"/>
    <n v="5472"/>
    <n v="15220"/>
    <n v="553.39"/>
    <n v="0.1011312134502924"/>
  </r>
  <r>
    <s v="2025-01-12"/>
    <x v="5"/>
    <x v="0"/>
    <x v="0"/>
    <x v="1"/>
    <s v="Tablet"/>
    <x v="1"/>
    <n v="20"/>
    <n v="26720"/>
    <n v="17239"/>
    <n v="2842.18"/>
    <n v="0.10636901197604789"/>
  </r>
  <r>
    <s v="2025-01-11"/>
    <x v="5"/>
    <x v="0"/>
    <x v="2"/>
    <x v="4"/>
    <s v="Phone"/>
    <x v="1"/>
    <n v="13"/>
    <n v="2106"/>
    <n v="6305"/>
    <n v="448.07"/>
    <n v="0.2127587844254511"/>
  </r>
  <r>
    <s v="2025-07-04"/>
    <x v="0"/>
    <x v="0"/>
    <x v="2"/>
    <x v="2"/>
    <s v="Laptop"/>
    <x v="1"/>
    <n v="20"/>
    <n v="25180"/>
    <n v="10271"/>
    <n v="7355.74"/>
    <n v="0.29212629070691026"/>
  </r>
  <r>
    <s v="2025-09-12"/>
    <x v="6"/>
    <x v="0"/>
    <x v="3"/>
    <x v="0"/>
    <s v="Phone"/>
    <x v="1"/>
    <n v="3"/>
    <n v="2847"/>
    <n v="16485"/>
    <n v="392.53"/>
    <n v="0.13787495609413417"/>
  </r>
  <r>
    <s v="2025-06-29"/>
    <x v="4"/>
    <x v="0"/>
    <x v="3"/>
    <x v="1"/>
    <s v="Printer"/>
    <x v="2"/>
    <n v="6"/>
    <n v="3654"/>
    <n v="19682"/>
    <n v="446.22"/>
    <n v="0.12211822660098523"/>
  </r>
  <r>
    <s v="2025-02-16"/>
    <x v="11"/>
    <x v="0"/>
    <x v="2"/>
    <x v="0"/>
    <s v="Monitor"/>
    <x v="1"/>
    <n v="10"/>
    <n v="9750"/>
    <n v="10564"/>
    <n v="2434.46"/>
    <n v="0.24968820512820514"/>
  </r>
  <r>
    <s v="2025-10-19"/>
    <x v="10"/>
    <x v="0"/>
    <x v="3"/>
    <x v="4"/>
    <s v="Monitor"/>
    <x v="1"/>
    <n v="14"/>
    <n v="9674"/>
    <n v="8885"/>
    <n v="1350.35"/>
    <n v="0.1395854868720281"/>
  </r>
  <r>
    <s v="2025-07-27"/>
    <x v="0"/>
    <x v="0"/>
    <x v="2"/>
    <x v="2"/>
    <s v="Laptop"/>
    <x v="1"/>
    <n v="1"/>
    <n v="357"/>
    <n v="11304"/>
    <n v="57.09"/>
    <n v="0.15991596638655464"/>
  </r>
  <r>
    <s v="2025-01-21"/>
    <x v="5"/>
    <x v="0"/>
    <x v="2"/>
    <x v="4"/>
    <s v="Phone"/>
    <x v="1"/>
    <n v="18"/>
    <n v="5544"/>
    <n v="11624"/>
    <n v="601.41"/>
    <n v="0.10847943722943722"/>
  </r>
  <r>
    <s v="2025-03-18"/>
    <x v="7"/>
    <x v="0"/>
    <x v="0"/>
    <x v="3"/>
    <s v="Monitor"/>
    <x v="1"/>
    <n v="17"/>
    <n v="12580"/>
    <n v="16342"/>
    <n v="3745.99"/>
    <n v="0.29777344992050875"/>
  </r>
  <r>
    <s v="2025-11-10"/>
    <x v="2"/>
    <x v="0"/>
    <x v="2"/>
    <x v="1"/>
    <s v="Monitor"/>
    <x v="1"/>
    <n v="19"/>
    <n v="12217"/>
    <n v="8921"/>
    <n v="3391.3"/>
    <n v="0.27758860604076291"/>
  </r>
  <r>
    <s v="2025-08-13"/>
    <x v="1"/>
    <x v="0"/>
    <x v="2"/>
    <x v="4"/>
    <s v="Monitor"/>
    <x v="1"/>
    <n v="6"/>
    <n v="996"/>
    <n v="6441"/>
    <n v="285.33"/>
    <n v="0.28647590361445779"/>
  </r>
  <r>
    <s v="2025-01-06"/>
    <x v="5"/>
    <x v="0"/>
    <x v="0"/>
    <x v="4"/>
    <s v="Phone"/>
    <x v="1"/>
    <n v="18"/>
    <n v="13860"/>
    <n v="8461"/>
    <n v="2187.67"/>
    <n v="0.15784054834054834"/>
  </r>
  <r>
    <s v="2025-09-27"/>
    <x v="6"/>
    <x v="0"/>
    <x v="0"/>
    <x v="1"/>
    <s v="Phone"/>
    <x v="1"/>
    <n v="3"/>
    <n v="3003"/>
    <n v="10650"/>
    <n v="592.79999999999995"/>
    <n v="0.19740259740259739"/>
  </r>
  <r>
    <s v="2025-03-20"/>
    <x v="7"/>
    <x v="0"/>
    <x v="3"/>
    <x v="4"/>
    <s v="Tablet"/>
    <x v="1"/>
    <n v="9"/>
    <n v="12150"/>
    <n v="9033"/>
    <n v="2138.25"/>
    <n v="0.17598765432098765"/>
  </r>
  <r>
    <s v="2025-07-08"/>
    <x v="0"/>
    <x v="0"/>
    <x v="0"/>
    <x v="3"/>
    <s v="Laptop"/>
    <x v="1"/>
    <n v="3"/>
    <n v="3231"/>
    <n v="18841"/>
    <n v="574.74"/>
    <n v="0.17788300835654597"/>
  </r>
  <r>
    <s v="2025-01-19"/>
    <x v="5"/>
    <x v="0"/>
    <x v="0"/>
    <x v="2"/>
    <s v="Printer"/>
    <x v="2"/>
    <n v="2"/>
    <n v="808"/>
    <n v="9065"/>
    <n v="157.16999999999999"/>
    <n v="0.19451732673267325"/>
  </r>
  <r>
    <s v="2025-11-03"/>
    <x v="2"/>
    <x v="0"/>
    <x v="3"/>
    <x v="1"/>
    <s v="Desk Chair"/>
    <x v="0"/>
    <n v="13"/>
    <n v="1443"/>
    <n v="11633"/>
    <n v="269.26"/>
    <n v="0.18659736659736659"/>
  </r>
  <r>
    <s v="2025-05-17"/>
    <x v="3"/>
    <x v="0"/>
    <x v="3"/>
    <x v="1"/>
    <s v="Laptop"/>
    <x v="1"/>
    <n v="11"/>
    <n v="15686"/>
    <n v="12040"/>
    <n v="2994.34"/>
    <n v="0.19089251561902335"/>
  </r>
  <r>
    <s v="2025-09-12"/>
    <x v="6"/>
    <x v="0"/>
    <x v="2"/>
    <x v="4"/>
    <s v="Tablet"/>
    <x v="1"/>
    <n v="20"/>
    <n v="28860"/>
    <n v="6285"/>
    <n v="8425.39"/>
    <n v="0.29194005544005541"/>
  </r>
  <r>
    <s v="2025-01-24"/>
    <x v="5"/>
    <x v="0"/>
    <x v="3"/>
    <x v="0"/>
    <s v="Monitor"/>
    <x v="1"/>
    <n v="4"/>
    <n v="5268"/>
    <n v="8796"/>
    <n v="902.11"/>
    <n v="0.17124335611237662"/>
  </r>
  <r>
    <s v="2025-08-22"/>
    <x v="1"/>
    <x v="0"/>
    <x v="0"/>
    <x v="1"/>
    <s v="Tablet"/>
    <x v="1"/>
    <n v="10"/>
    <n v="9680"/>
    <n v="14241"/>
    <n v="2374.4699999999998"/>
    <n v="0.24529648760330577"/>
  </r>
  <r>
    <s v="2025-08-23"/>
    <x v="1"/>
    <x v="0"/>
    <x v="1"/>
    <x v="3"/>
    <s v="Phone"/>
    <x v="1"/>
    <n v="19"/>
    <n v="20710"/>
    <n v="18184"/>
    <n v="4799.04"/>
    <n v="0.23172573635924673"/>
  </r>
  <r>
    <s v="2025-10-01"/>
    <x v="10"/>
    <x v="0"/>
    <x v="3"/>
    <x v="4"/>
    <s v="Desk Chair"/>
    <x v="0"/>
    <n v="15"/>
    <n v="18480"/>
    <n v="13337"/>
    <n v="3990.83"/>
    <n v="0.21595400432900433"/>
  </r>
  <r>
    <s v="2025-08-18"/>
    <x v="1"/>
    <x v="0"/>
    <x v="3"/>
    <x v="1"/>
    <s v="Desk Chair"/>
    <x v="0"/>
    <n v="10"/>
    <n v="12490"/>
    <n v="11922"/>
    <n v="3559.11"/>
    <n v="0.28495676541232989"/>
  </r>
  <r>
    <s v="2025-08-04"/>
    <x v="1"/>
    <x v="0"/>
    <x v="2"/>
    <x v="4"/>
    <s v="Tablet"/>
    <x v="1"/>
    <n v="17"/>
    <n v="20468"/>
    <n v="14652"/>
    <n v="2397.02"/>
    <n v="0.11711061168653508"/>
  </r>
  <r>
    <s v="2025-05-13"/>
    <x v="3"/>
    <x v="0"/>
    <x v="3"/>
    <x v="3"/>
    <s v="Laptop"/>
    <x v="1"/>
    <n v="13"/>
    <n v="7033"/>
    <n v="11227"/>
    <n v="1317.59"/>
    <n v="0.1873439499502346"/>
  </r>
  <r>
    <s v="2025-08-04"/>
    <x v="1"/>
    <x v="0"/>
    <x v="0"/>
    <x v="0"/>
    <s v="Desk Chair"/>
    <x v="0"/>
    <n v="17"/>
    <n v="14569"/>
    <n v="12253"/>
    <n v="3572.32"/>
    <n v="0.24520008236666896"/>
  </r>
  <r>
    <s v="2025-11-24"/>
    <x v="2"/>
    <x v="0"/>
    <x v="2"/>
    <x v="0"/>
    <s v="Monitor"/>
    <x v="1"/>
    <n v="14"/>
    <n v="13692"/>
    <n v="16863"/>
    <n v="3822.44"/>
    <n v="0.27917323984808645"/>
  </r>
  <r>
    <s v="2025-04-01"/>
    <x v="9"/>
    <x v="0"/>
    <x v="2"/>
    <x v="3"/>
    <s v="Desk Chair"/>
    <x v="0"/>
    <n v="12"/>
    <n v="7296"/>
    <n v="13455"/>
    <n v="1052.97"/>
    <n v="0.14432154605263159"/>
  </r>
  <r>
    <s v="2025-11-11"/>
    <x v="2"/>
    <x v="0"/>
    <x v="2"/>
    <x v="2"/>
    <s v="Desk Chair"/>
    <x v="0"/>
    <n v="20"/>
    <n v="24380"/>
    <n v="17530"/>
    <n v="4190.7299999999996"/>
    <n v="0.17189212469237078"/>
  </r>
  <r>
    <s v="2025-02-10"/>
    <x v="11"/>
    <x v="0"/>
    <x v="0"/>
    <x v="1"/>
    <s v="Monitor"/>
    <x v="1"/>
    <n v="11"/>
    <n v="2574"/>
    <n v="19564"/>
    <n v="558.59"/>
    <n v="0.21701243201243203"/>
  </r>
  <r>
    <s v="2025-01-25"/>
    <x v="5"/>
    <x v="0"/>
    <x v="1"/>
    <x v="3"/>
    <s v="Phone"/>
    <x v="1"/>
    <n v="2"/>
    <n v="2762"/>
    <n v="6575"/>
    <n v="594.79999999999995"/>
    <n v="0.21535119478638665"/>
  </r>
  <r>
    <s v="2025-12-17"/>
    <x v="8"/>
    <x v="0"/>
    <x v="3"/>
    <x v="0"/>
    <s v="Tablet"/>
    <x v="1"/>
    <n v="12"/>
    <n v="3264"/>
    <n v="19410"/>
    <n v="438.59"/>
    <n v="0.1343719362745098"/>
  </r>
  <r>
    <s v="2025-10-24"/>
    <x v="10"/>
    <x v="0"/>
    <x v="3"/>
    <x v="0"/>
    <s v="Phone"/>
    <x v="1"/>
    <n v="13"/>
    <n v="4576"/>
    <n v="9413"/>
    <n v="802.51"/>
    <n v="0.17537368881118881"/>
  </r>
  <r>
    <s v="2025-08-20"/>
    <x v="1"/>
    <x v="0"/>
    <x v="3"/>
    <x v="1"/>
    <s v="Printer"/>
    <x v="2"/>
    <n v="20"/>
    <n v="17320"/>
    <n v="16611"/>
    <n v="4702.87"/>
    <n v="0.27152829099307157"/>
  </r>
  <r>
    <s v="2025-10-23"/>
    <x v="10"/>
    <x v="0"/>
    <x v="2"/>
    <x v="2"/>
    <s v="Laptop"/>
    <x v="1"/>
    <n v="10"/>
    <n v="9940"/>
    <n v="19105"/>
    <n v="2244.73"/>
    <n v="0.22582796780684106"/>
  </r>
  <r>
    <s v="2025-05-25"/>
    <x v="3"/>
    <x v="0"/>
    <x v="0"/>
    <x v="1"/>
    <s v="Printer"/>
    <x v="2"/>
    <n v="12"/>
    <n v="10080"/>
    <n v="12264"/>
    <n v="1296.3"/>
    <n v="0.12860119047619048"/>
  </r>
  <r>
    <s v="2025-04-30"/>
    <x v="9"/>
    <x v="0"/>
    <x v="0"/>
    <x v="2"/>
    <s v="Tablet"/>
    <x v="1"/>
    <n v="6"/>
    <n v="4386"/>
    <n v="10586"/>
    <n v="825.25"/>
    <n v="0.18815549475604196"/>
  </r>
  <r>
    <s v="2025-03-21"/>
    <x v="7"/>
    <x v="0"/>
    <x v="2"/>
    <x v="1"/>
    <s v="Printer"/>
    <x v="2"/>
    <n v="17"/>
    <n v="5372"/>
    <n v="17761"/>
    <n v="968.14"/>
    <n v="0.18021965748324645"/>
  </r>
  <r>
    <s v="2025-08-02"/>
    <x v="1"/>
    <x v="0"/>
    <x v="1"/>
    <x v="4"/>
    <s v="Tablet"/>
    <x v="1"/>
    <n v="2"/>
    <n v="2760"/>
    <n v="11032"/>
    <n v="776.24"/>
    <n v="0.2812463768115942"/>
  </r>
  <r>
    <s v="2025-09-07"/>
    <x v="6"/>
    <x v="0"/>
    <x v="2"/>
    <x v="1"/>
    <s v="Desk Chair"/>
    <x v="0"/>
    <n v="17"/>
    <n v="7939"/>
    <n v="10213"/>
    <n v="842.76"/>
    <n v="0.10615442750976194"/>
  </r>
  <r>
    <s v="2025-10-30"/>
    <x v="10"/>
    <x v="0"/>
    <x v="0"/>
    <x v="1"/>
    <s v="Monitor"/>
    <x v="1"/>
    <n v="17"/>
    <n v="10812"/>
    <n v="15265"/>
    <n v="1254.81"/>
    <n v="0.11605715871254162"/>
  </r>
  <r>
    <s v="2025-03-15"/>
    <x v="7"/>
    <x v="0"/>
    <x v="1"/>
    <x v="2"/>
    <s v="Printer"/>
    <x v="2"/>
    <n v="7"/>
    <n v="6139"/>
    <n v="8573"/>
    <n v="1670.81"/>
    <n v="0.27216321876527122"/>
  </r>
  <r>
    <s v="2025-06-02"/>
    <x v="4"/>
    <x v="0"/>
    <x v="0"/>
    <x v="0"/>
    <s v="Tablet"/>
    <x v="1"/>
    <n v="1"/>
    <n v="847"/>
    <n v="14330"/>
    <n v="213.98"/>
    <n v="0.2526328217237308"/>
  </r>
  <r>
    <s v="2025-12-12"/>
    <x v="8"/>
    <x v="0"/>
    <x v="3"/>
    <x v="1"/>
    <s v="Monitor"/>
    <x v="1"/>
    <n v="19"/>
    <n v="19817"/>
    <n v="6785"/>
    <n v="2662.97"/>
    <n v="0.13437805924206489"/>
  </r>
  <r>
    <s v="2025-03-11"/>
    <x v="7"/>
    <x v="0"/>
    <x v="1"/>
    <x v="2"/>
    <s v="Laptop"/>
    <x v="1"/>
    <n v="17"/>
    <n v="25415"/>
    <n v="18935"/>
    <n v="4284.3"/>
    <n v="0.16857367696242379"/>
  </r>
  <r>
    <s v="2025-03-11"/>
    <x v="7"/>
    <x v="0"/>
    <x v="0"/>
    <x v="0"/>
    <s v="Phone"/>
    <x v="1"/>
    <n v="8"/>
    <n v="5632"/>
    <n v="5713"/>
    <n v="971.12"/>
    <n v="0.17242897727272727"/>
  </r>
  <r>
    <s v="2025-02-23"/>
    <x v="11"/>
    <x v="0"/>
    <x v="1"/>
    <x v="0"/>
    <s v="Printer"/>
    <x v="2"/>
    <n v="10"/>
    <n v="14860"/>
    <n v="12233"/>
    <n v="3679.54"/>
    <n v="0.24761372812920593"/>
  </r>
  <r>
    <s v="2025-09-11"/>
    <x v="6"/>
    <x v="0"/>
    <x v="3"/>
    <x v="4"/>
    <s v="Laptop"/>
    <x v="1"/>
    <n v="1"/>
    <n v="875"/>
    <n v="16410"/>
    <n v="207.81"/>
    <n v="0.23749714285714285"/>
  </r>
  <r>
    <s v="2025-07-20"/>
    <x v="0"/>
    <x v="0"/>
    <x v="1"/>
    <x v="3"/>
    <s v="Desk Chair"/>
    <x v="0"/>
    <n v="15"/>
    <n v="13500"/>
    <n v="17864"/>
    <n v="2337.75"/>
    <n v="0.17316666666666666"/>
  </r>
  <r>
    <s v="2025-04-13"/>
    <x v="9"/>
    <x v="0"/>
    <x v="0"/>
    <x v="2"/>
    <s v="Laptop"/>
    <x v="1"/>
    <n v="2"/>
    <n v="2980"/>
    <n v="10624"/>
    <n v="665.14"/>
    <n v="0.22320134228187918"/>
  </r>
  <r>
    <s v="2025-04-18"/>
    <x v="9"/>
    <x v="0"/>
    <x v="1"/>
    <x v="0"/>
    <s v="Printer"/>
    <x v="2"/>
    <n v="20"/>
    <n v="19740"/>
    <n v="13601"/>
    <n v="3390.11"/>
    <n v="0.17173809523809525"/>
  </r>
  <r>
    <s v="2025-08-17"/>
    <x v="1"/>
    <x v="0"/>
    <x v="3"/>
    <x v="3"/>
    <s v="Laptop"/>
    <x v="1"/>
    <n v="15"/>
    <n v="16950"/>
    <n v="6802"/>
    <n v="4973.3100000000004"/>
    <n v="0.29341061946902658"/>
  </r>
  <r>
    <s v="2025-02-28"/>
    <x v="11"/>
    <x v="0"/>
    <x v="3"/>
    <x v="2"/>
    <s v="Printer"/>
    <x v="2"/>
    <n v="17"/>
    <n v="22355"/>
    <n v="5541"/>
    <n v="4852.8500000000004"/>
    <n v="0.21708118989040484"/>
  </r>
  <r>
    <s v="2025-03-24"/>
    <x v="7"/>
    <x v="0"/>
    <x v="1"/>
    <x v="3"/>
    <s v="Desk Chair"/>
    <x v="0"/>
    <n v="16"/>
    <n v="23936"/>
    <n v="15077"/>
    <n v="6063.67"/>
    <n v="0.25332845922459896"/>
  </r>
  <r>
    <s v="2025-11-27"/>
    <x v="2"/>
    <x v="0"/>
    <x v="1"/>
    <x v="2"/>
    <s v="Laptop"/>
    <x v="1"/>
    <n v="17"/>
    <n v="8925"/>
    <n v="17894"/>
    <n v="1548.46"/>
    <n v="0.173496918767507"/>
  </r>
  <r>
    <s v="2025-05-17"/>
    <x v="3"/>
    <x v="0"/>
    <x v="3"/>
    <x v="3"/>
    <s v="Printer"/>
    <x v="2"/>
    <n v="12"/>
    <n v="17616"/>
    <n v="13166"/>
    <n v="3905.24"/>
    <n v="0.2216871026339691"/>
  </r>
  <r>
    <s v="2025-08-16"/>
    <x v="1"/>
    <x v="0"/>
    <x v="1"/>
    <x v="1"/>
    <s v="Tablet"/>
    <x v="1"/>
    <n v="10"/>
    <n v="1600"/>
    <n v="7134"/>
    <n v="224.75"/>
    <n v="0.14046875"/>
  </r>
  <r>
    <s v="2025-02-03"/>
    <x v="11"/>
    <x v="0"/>
    <x v="2"/>
    <x v="1"/>
    <s v="Tablet"/>
    <x v="1"/>
    <n v="11"/>
    <n v="4939"/>
    <n v="11075"/>
    <n v="1404.84"/>
    <n v="0.28443814537355738"/>
  </r>
  <r>
    <s v="2025-06-11"/>
    <x v="4"/>
    <x v="0"/>
    <x v="2"/>
    <x v="1"/>
    <s v="Laptop"/>
    <x v="1"/>
    <n v="6"/>
    <n v="8658"/>
    <n v="16178"/>
    <n v="1468.92"/>
    <n v="0.16966042966042966"/>
  </r>
  <r>
    <s v="2025-02-23"/>
    <x v="11"/>
    <x v="0"/>
    <x v="1"/>
    <x v="3"/>
    <s v="Tablet"/>
    <x v="1"/>
    <n v="9"/>
    <n v="7335"/>
    <n v="19223"/>
    <n v="1869.63"/>
    <n v="0.2548916155419223"/>
  </r>
  <r>
    <s v="2025-01-05"/>
    <x v="5"/>
    <x v="0"/>
    <x v="3"/>
    <x v="1"/>
    <s v="Desk Chair"/>
    <x v="0"/>
    <n v="3"/>
    <n v="2319"/>
    <n v="5891"/>
    <n v="559.54999999999995"/>
    <n v="0.24128934885726605"/>
  </r>
  <r>
    <s v="2025-02-16"/>
    <x v="11"/>
    <x v="0"/>
    <x v="3"/>
    <x v="3"/>
    <s v="Desk Chair"/>
    <x v="0"/>
    <n v="11"/>
    <n v="1100"/>
    <n v="7632"/>
    <n v="263.11"/>
    <n v="0.23919090909090909"/>
  </r>
  <r>
    <s v="2025-03-15"/>
    <x v="7"/>
    <x v="0"/>
    <x v="3"/>
    <x v="3"/>
    <s v="Monitor"/>
    <x v="1"/>
    <n v="3"/>
    <n v="1881"/>
    <n v="18681"/>
    <n v="317.67"/>
    <n v="0.16888357256778311"/>
  </r>
  <r>
    <s v="2025-07-21"/>
    <x v="0"/>
    <x v="0"/>
    <x v="2"/>
    <x v="2"/>
    <s v="Desk Chair"/>
    <x v="0"/>
    <n v="1"/>
    <n v="524"/>
    <n v="11482"/>
    <n v="109.5"/>
    <n v="0.20896946564885496"/>
  </r>
  <r>
    <s v="2025-05-05"/>
    <x v="3"/>
    <x v="0"/>
    <x v="3"/>
    <x v="1"/>
    <s v="Phone"/>
    <x v="1"/>
    <n v="2"/>
    <n v="384"/>
    <n v="18549"/>
    <n v="47.34"/>
    <n v="0.12328125000000001"/>
  </r>
  <r>
    <s v="2025-05-03"/>
    <x v="3"/>
    <x v="0"/>
    <x v="3"/>
    <x v="2"/>
    <s v="Printer"/>
    <x v="2"/>
    <n v="5"/>
    <n v="4175"/>
    <n v="11764"/>
    <n v="895.21"/>
    <n v="0.21442155688622755"/>
  </r>
  <r>
    <s v="2025-12-09"/>
    <x v="8"/>
    <x v="0"/>
    <x v="3"/>
    <x v="2"/>
    <s v="Phone"/>
    <x v="1"/>
    <n v="3"/>
    <n v="2130"/>
    <n v="8557"/>
    <n v="505.74"/>
    <n v="0.23743661971830987"/>
  </r>
  <r>
    <s v="2025-02-04"/>
    <x v="11"/>
    <x v="0"/>
    <x v="1"/>
    <x v="2"/>
    <s v="Tablet"/>
    <x v="1"/>
    <n v="13"/>
    <n v="4147"/>
    <n v="12406"/>
    <n v="906.4"/>
    <n v="0.21856763925729442"/>
  </r>
  <r>
    <s v="2025-01-20"/>
    <x v="5"/>
    <x v="0"/>
    <x v="0"/>
    <x v="2"/>
    <s v="Desk Chair"/>
    <x v="0"/>
    <n v="20"/>
    <n v="15580"/>
    <n v="14058"/>
    <n v="3708.27"/>
    <n v="0.23801476251604622"/>
  </r>
  <r>
    <s v="2025-02-13"/>
    <x v="11"/>
    <x v="0"/>
    <x v="2"/>
    <x v="0"/>
    <s v="Laptop"/>
    <x v="1"/>
    <n v="5"/>
    <n v="7210"/>
    <n v="12437"/>
    <n v="2158.5100000000002"/>
    <n v="0.29937725381414704"/>
  </r>
  <r>
    <s v="2025-08-28"/>
    <x v="1"/>
    <x v="0"/>
    <x v="3"/>
    <x v="0"/>
    <s v="Monitor"/>
    <x v="1"/>
    <n v="6"/>
    <n v="8208"/>
    <n v="9253"/>
    <n v="1213.6400000000001"/>
    <n v="0.14786062378167641"/>
  </r>
  <r>
    <s v="2025-01-12"/>
    <x v="5"/>
    <x v="0"/>
    <x v="2"/>
    <x v="2"/>
    <s v="Desk Chair"/>
    <x v="0"/>
    <n v="3"/>
    <n v="3585"/>
    <n v="6659"/>
    <n v="528.73"/>
    <n v="0.14748396094839611"/>
  </r>
  <r>
    <s v="2025-05-11"/>
    <x v="3"/>
    <x v="0"/>
    <x v="0"/>
    <x v="0"/>
    <s v="Printer"/>
    <x v="2"/>
    <n v="19"/>
    <n v="15618"/>
    <n v="7946"/>
    <n v="2950.85"/>
    <n v="0.18893904469202202"/>
  </r>
  <r>
    <s v="2025-01-03"/>
    <x v="5"/>
    <x v="0"/>
    <x v="0"/>
    <x v="2"/>
    <s v="Printer"/>
    <x v="2"/>
    <n v="9"/>
    <n v="3690"/>
    <n v="9595"/>
    <n v="804.2"/>
    <n v="0.21794037940379404"/>
  </r>
  <r>
    <s v="2025-12-30"/>
    <x v="8"/>
    <x v="0"/>
    <x v="3"/>
    <x v="3"/>
    <s v="Desk Chair"/>
    <x v="0"/>
    <n v="2"/>
    <n v="1454"/>
    <n v="16414"/>
    <n v="409.77"/>
    <n v="0.28182255845942228"/>
  </r>
  <r>
    <s v="2025-12-29"/>
    <x v="8"/>
    <x v="0"/>
    <x v="3"/>
    <x v="4"/>
    <s v="Laptop"/>
    <x v="1"/>
    <n v="5"/>
    <n v="1065"/>
    <n v="13599"/>
    <n v="133.04"/>
    <n v="0.12492018779342723"/>
  </r>
  <r>
    <s v="2025-05-07"/>
    <x v="3"/>
    <x v="0"/>
    <x v="1"/>
    <x v="4"/>
    <s v="Tablet"/>
    <x v="1"/>
    <n v="13"/>
    <n v="9256"/>
    <n v="15120"/>
    <n v="2383"/>
    <n v="0.25745462402765773"/>
  </r>
  <r>
    <s v="2025-09-13"/>
    <x v="6"/>
    <x v="0"/>
    <x v="2"/>
    <x v="4"/>
    <s v="Monitor"/>
    <x v="1"/>
    <n v="2"/>
    <n v="1840"/>
    <n v="12055"/>
    <n v="281.77"/>
    <n v="0.15313586956521738"/>
  </r>
  <r>
    <s v="2025-07-04"/>
    <x v="0"/>
    <x v="0"/>
    <x v="2"/>
    <x v="2"/>
    <s v="Monitor"/>
    <x v="1"/>
    <n v="16"/>
    <n v="22384"/>
    <n v="9440"/>
    <n v="4058.74"/>
    <n v="0.18132326661901357"/>
  </r>
  <r>
    <s v="2025-05-23"/>
    <x v="3"/>
    <x v="0"/>
    <x v="3"/>
    <x v="2"/>
    <s v="Tablet"/>
    <x v="1"/>
    <n v="10"/>
    <n v="8300"/>
    <n v="12693"/>
    <n v="1879.12"/>
    <n v="0.22639999999999999"/>
  </r>
  <r>
    <s v="2025-04-21"/>
    <x v="9"/>
    <x v="0"/>
    <x v="3"/>
    <x v="2"/>
    <s v="Printer"/>
    <x v="2"/>
    <n v="6"/>
    <n v="4662"/>
    <n v="16544"/>
    <n v="875.86"/>
    <n v="0.18787215787215789"/>
  </r>
  <r>
    <s v="2025-06-29"/>
    <x v="4"/>
    <x v="0"/>
    <x v="0"/>
    <x v="1"/>
    <s v="Phone"/>
    <x v="1"/>
    <n v="9"/>
    <n v="4446"/>
    <n v="16708"/>
    <n v="699.78"/>
    <n v="0.15739541160593792"/>
  </r>
  <r>
    <s v="2025-05-25"/>
    <x v="3"/>
    <x v="0"/>
    <x v="2"/>
    <x v="0"/>
    <s v="Desk Chair"/>
    <x v="0"/>
    <n v="4"/>
    <n v="2380"/>
    <n v="5210"/>
    <n v="675.38"/>
    <n v="0.28377310924369747"/>
  </r>
  <r>
    <s v="2025-04-24"/>
    <x v="9"/>
    <x v="0"/>
    <x v="2"/>
    <x v="0"/>
    <s v="Monitor"/>
    <x v="1"/>
    <n v="10"/>
    <n v="6540"/>
    <n v="6304"/>
    <n v="1194.43"/>
    <n v="0.18263455657492356"/>
  </r>
  <r>
    <s v="2025-08-02"/>
    <x v="1"/>
    <x v="0"/>
    <x v="3"/>
    <x v="2"/>
    <s v="Printer"/>
    <x v="2"/>
    <n v="8"/>
    <n v="5760"/>
    <n v="15171"/>
    <n v="755.21"/>
    <n v="0.13111284722222222"/>
  </r>
  <r>
    <s v="2025-07-22"/>
    <x v="0"/>
    <x v="0"/>
    <x v="0"/>
    <x v="4"/>
    <s v="Tablet"/>
    <x v="1"/>
    <n v="17"/>
    <n v="19142"/>
    <n v="17955"/>
    <n v="4477.93"/>
    <n v="0.23393219099362658"/>
  </r>
  <r>
    <s v="2025-12-30"/>
    <x v="8"/>
    <x v="0"/>
    <x v="2"/>
    <x v="3"/>
    <s v="Phone"/>
    <x v="1"/>
    <n v="8"/>
    <n v="4776"/>
    <n v="10535"/>
    <n v="1230.8699999999999"/>
    <n v="0.25771984924623115"/>
  </r>
  <r>
    <s v="2025-07-09"/>
    <x v="0"/>
    <x v="0"/>
    <x v="3"/>
    <x v="0"/>
    <s v="Printer"/>
    <x v="2"/>
    <n v="6"/>
    <n v="8394"/>
    <n v="15927"/>
    <n v="1140.8499999999999"/>
    <n v="0.13591255658803905"/>
  </r>
  <r>
    <s v="2025-04-25"/>
    <x v="9"/>
    <x v="0"/>
    <x v="3"/>
    <x v="0"/>
    <s v="Monitor"/>
    <x v="1"/>
    <n v="1"/>
    <n v="877"/>
    <n v="19603"/>
    <n v="187.25"/>
    <n v="0.21351197263397947"/>
  </r>
  <r>
    <s v="2025-06-27"/>
    <x v="4"/>
    <x v="0"/>
    <x v="3"/>
    <x v="2"/>
    <s v="Desk Chair"/>
    <x v="0"/>
    <n v="16"/>
    <n v="17744"/>
    <n v="8436"/>
    <n v="3861.18"/>
    <n v="0.21760482416591523"/>
  </r>
  <r>
    <s v="2025-01-17"/>
    <x v="5"/>
    <x v="0"/>
    <x v="1"/>
    <x v="0"/>
    <s v="Desk Chair"/>
    <x v="0"/>
    <n v="18"/>
    <n v="9666"/>
    <n v="6612"/>
    <n v="2832.6"/>
    <n v="0.2930477963997517"/>
  </r>
  <r>
    <s v="2025-08-30"/>
    <x v="1"/>
    <x v="0"/>
    <x v="2"/>
    <x v="0"/>
    <s v="Tablet"/>
    <x v="1"/>
    <n v="17"/>
    <n v="4267"/>
    <n v="12764"/>
    <n v="709.81"/>
    <n v="0.16634872275603468"/>
  </r>
  <r>
    <s v="2025-11-07"/>
    <x v="2"/>
    <x v="0"/>
    <x v="1"/>
    <x v="0"/>
    <s v="Desk Chair"/>
    <x v="0"/>
    <n v="13"/>
    <n v="13416"/>
    <n v="18430"/>
    <n v="2721.17"/>
    <n v="0.20283020274299346"/>
  </r>
  <r>
    <s v="2025-10-31"/>
    <x v="10"/>
    <x v="0"/>
    <x v="0"/>
    <x v="1"/>
    <s v="Phone"/>
    <x v="1"/>
    <n v="1"/>
    <n v="1180"/>
    <n v="11018"/>
    <n v="257.12"/>
    <n v="0.21789830508474578"/>
  </r>
  <r>
    <s v="2025-03-05"/>
    <x v="7"/>
    <x v="0"/>
    <x v="1"/>
    <x v="1"/>
    <s v="Desk Chair"/>
    <x v="0"/>
    <n v="20"/>
    <n v="24260"/>
    <n v="16588"/>
    <n v="3292.37"/>
    <n v="0.1357118713932399"/>
  </r>
  <r>
    <s v="2025-10-01"/>
    <x v="10"/>
    <x v="0"/>
    <x v="2"/>
    <x v="4"/>
    <s v="Desk Chair"/>
    <x v="0"/>
    <n v="5"/>
    <n v="7350"/>
    <n v="9841"/>
    <n v="1112.5899999999999"/>
    <n v="0.15137278911564625"/>
  </r>
  <r>
    <s v="2025-04-22"/>
    <x v="9"/>
    <x v="0"/>
    <x v="2"/>
    <x v="2"/>
    <s v="Tablet"/>
    <x v="1"/>
    <n v="10"/>
    <n v="7140"/>
    <n v="11219"/>
    <n v="1101.17"/>
    <n v="0.15422549019607845"/>
  </r>
  <r>
    <s v="2025-06-09"/>
    <x v="4"/>
    <x v="0"/>
    <x v="0"/>
    <x v="3"/>
    <s v="Laptop"/>
    <x v="1"/>
    <n v="18"/>
    <n v="21258"/>
    <n v="10149"/>
    <n v="5595.57"/>
    <n v="0.26322184589331071"/>
  </r>
  <r>
    <s v="2025-07-23"/>
    <x v="0"/>
    <x v="0"/>
    <x v="0"/>
    <x v="1"/>
    <s v="Desk Chair"/>
    <x v="0"/>
    <n v="16"/>
    <n v="6368"/>
    <n v="15151"/>
    <n v="886.63"/>
    <n v="0.13923209798994976"/>
  </r>
  <r>
    <s v="2025-01-23"/>
    <x v="5"/>
    <x v="0"/>
    <x v="2"/>
    <x v="3"/>
    <s v="Printer"/>
    <x v="2"/>
    <n v="15"/>
    <n v="10650"/>
    <n v="8462"/>
    <n v="1557.52"/>
    <n v="0.14624600938967136"/>
  </r>
  <r>
    <s v="2025-12-15"/>
    <x v="8"/>
    <x v="0"/>
    <x v="1"/>
    <x v="4"/>
    <s v="Phone"/>
    <x v="1"/>
    <n v="9"/>
    <n v="972"/>
    <n v="10759"/>
    <n v="205.14"/>
    <n v="0.21104938271604937"/>
  </r>
  <r>
    <s v="2025-09-23"/>
    <x v="6"/>
    <x v="0"/>
    <x v="3"/>
    <x v="1"/>
    <s v="Laptop"/>
    <x v="1"/>
    <n v="8"/>
    <n v="928"/>
    <n v="11656"/>
    <n v="170.84"/>
    <n v="0.18409482758620691"/>
  </r>
  <r>
    <s v="2025-06-10"/>
    <x v="4"/>
    <x v="0"/>
    <x v="1"/>
    <x v="2"/>
    <s v="Phone"/>
    <x v="1"/>
    <n v="15"/>
    <n v="16470"/>
    <n v="12464"/>
    <n v="4784.25"/>
    <n v="0.29048269581056468"/>
  </r>
  <r>
    <s v="2025-12-06"/>
    <x v="8"/>
    <x v="0"/>
    <x v="3"/>
    <x v="3"/>
    <s v="Laptop"/>
    <x v="1"/>
    <n v="16"/>
    <n v="10576"/>
    <n v="17884"/>
    <n v="1507.79"/>
    <n v="0.14256713313161876"/>
  </r>
  <r>
    <s v="2025-07-27"/>
    <x v="0"/>
    <x v="0"/>
    <x v="0"/>
    <x v="0"/>
    <s v="Desk Chair"/>
    <x v="0"/>
    <n v="5"/>
    <n v="5625"/>
    <n v="17262"/>
    <n v="1596.29"/>
    <n v="0.28378488888888886"/>
  </r>
  <r>
    <s v="2025-12-29"/>
    <x v="8"/>
    <x v="0"/>
    <x v="2"/>
    <x v="4"/>
    <s v="Laptop"/>
    <x v="1"/>
    <n v="6"/>
    <n v="8286"/>
    <n v="9861"/>
    <n v="1430.56"/>
    <n v="0.17264783972966449"/>
  </r>
  <r>
    <s v="2025-10-29"/>
    <x v="10"/>
    <x v="0"/>
    <x v="0"/>
    <x v="4"/>
    <s v="Printer"/>
    <x v="2"/>
    <n v="10"/>
    <n v="6260"/>
    <n v="9217"/>
    <n v="1562.45"/>
    <n v="0.24959265175718851"/>
  </r>
  <r>
    <s v="2025-11-30"/>
    <x v="2"/>
    <x v="0"/>
    <x v="1"/>
    <x v="4"/>
    <s v="Printer"/>
    <x v="2"/>
    <n v="6"/>
    <n v="2826"/>
    <n v="14294"/>
    <n v="474.4"/>
    <n v="0.16786978060863411"/>
  </r>
  <r>
    <s v="2025-01-19"/>
    <x v="5"/>
    <x v="0"/>
    <x v="2"/>
    <x v="1"/>
    <s v="Monitor"/>
    <x v="1"/>
    <n v="3"/>
    <n v="2022"/>
    <n v="7108"/>
    <n v="562.42999999999995"/>
    <n v="0.27815529179030662"/>
  </r>
  <r>
    <s v="2025-03-09"/>
    <x v="7"/>
    <x v="0"/>
    <x v="3"/>
    <x v="1"/>
    <s v="Desk Chair"/>
    <x v="0"/>
    <n v="8"/>
    <n v="6248"/>
    <n v="11557"/>
    <n v="902.91"/>
    <n v="0.14451184379001281"/>
  </r>
  <r>
    <s v="2025-11-15"/>
    <x v="2"/>
    <x v="0"/>
    <x v="0"/>
    <x v="0"/>
    <s v="Monitor"/>
    <x v="1"/>
    <n v="16"/>
    <n v="4272"/>
    <n v="10830"/>
    <n v="1207.45"/>
    <n v="0.28264279026217232"/>
  </r>
  <r>
    <s v="2025-09-30"/>
    <x v="6"/>
    <x v="0"/>
    <x v="0"/>
    <x v="2"/>
    <s v="Printer"/>
    <x v="2"/>
    <n v="13"/>
    <n v="9009"/>
    <n v="7797"/>
    <n v="2423.48"/>
    <n v="0.26900654900654902"/>
  </r>
  <r>
    <s v="2025-02-25"/>
    <x v="11"/>
    <x v="0"/>
    <x v="1"/>
    <x v="4"/>
    <s v="Laptop"/>
    <x v="1"/>
    <n v="16"/>
    <n v="21936"/>
    <n v="10873"/>
    <n v="5917.5"/>
    <n v="0.26976203501094093"/>
  </r>
  <r>
    <s v="2025-07-28"/>
    <x v="0"/>
    <x v="0"/>
    <x v="3"/>
    <x v="3"/>
    <s v="Monitor"/>
    <x v="1"/>
    <n v="10"/>
    <n v="2970"/>
    <n v="10475"/>
    <n v="698.06"/>
    <n v="0.23503703703703702"/>
  </r>
  <r>
    <s v="2025-08-18"/>
    <x v="1"/>
    <x v="0"/>
    <x v="3"/>
    <x v="3"/>
    <s v="Printer"/>
    <x v="2"/>
    <n v="4"/>
    <n v="1720"/>
    <n v="11909"/>
    <n v="492.49"/>
    <n v="0.28633139534883723"/>
  </r>
  <r>
    <s v="2025-11-25"/>
    <x v="2"/>
    <x v="0"/>
    <x v="3"/>
    <x v="2"/>
    <s v="Desk Chair"/>
    <x v="0"/>
    <n v="3"/>
    <n v="633"/>
    <n v="13877"/>
    <n v="77.349999999999994"/>
    <n v="0.12219589257503949"/>
  </r>
  <r>
    <s v="2025-12-23"/>
    <x v="8"/>
    <x v="0"/>
    <x v="3"/>
    <x v="4"/>
    <s v="Laptop"/>
    <x v="1"/>
    <n v="19"/>
    <n v="13680"/>
    <n v="18398"/>
    <n v="2577.27"/>
    <n v="0.18839692982456141"/>
  </r>
  <r>
    <s v="2025-10-19"/>
    <x v="10"/>
    <x v="0"/>
    <x v="0"/>
    <x v="2"/>
    <s v="Monitor"/>
    <x v="1"/>
    <n v="14"/>
    <n v="11438"/>
    <n v="8390"/>
    <n v="2194.44"/>
    <n v="0.19185521944395875"/>
  </r>
  <r>
    <s v="2025-09-05"/>
    <x v="6"/>
    <x v="0"/>
    <x v="1"/>
    <x v="3"/>
    <s v="Phone"/>
    <x v="1"/>
    <n v="16"/>
    <n v="16768"/>
    <n v="15030"/>
    <n v="2543.27"/>
    <n v="0.15167402194656487"/>
  </r>
  <r>
    <s v="2025-08-17"/>
    <x v="1"/>
    <x v="0"/>
    <x v="2"/>
    <x v="0"/>
    <s v="Monitor"/>
    <x v="1"/>
    <n v="4"/>
    <n v="4680"/>
    <n v="18928"/>
    <n v="667.63"/>
    <n v="0.14265598290598291"/>
  </r>
  <r>
    <s v="2025-06-15"/>
    <x v="4"/>
    <x v="0"/>
    <x v="0"/>
    <x v="0"/>
    <s v="Printer"/>
    <x v="2"/>
    <n v="17"/>
    <n v="12665"/>
    <n v="17685"/>
    <n v="2241.34"/>
    <n v="0.17697118041847612"/>
  </r>
  <r>
    <s v="2025-09-05"/>
    <x v="6"/>
    <x v="0"/>
    <x v="2"/>
    <x v="3"/>
    <s v="Phone"/>
    <x v="1"/>
    <n v="6"/>
    <n v="5676"/>
    <n v="11987"/>
    <n v="952.11"/>
    <n v="0.16774312896405921"/>
  </r>
  <r>
    <s v="2025-09-01"/>
    <x v="6"/>
    <x v="0"/>
    <x v="3"/>
    <x v="1"/>
    <s v="Desk Chair"/>
    <x v="0"/>
    <n v="7"/>
    <n v="10311"/>
    <n v="16316"/>
    <n v="1747.72"/>
    <n v="0.16950053341092039"/>
  </r>
  <r>
    <s v="2025-11-20"/>
    <x v="2"/>
    <x v="0"/>
    <x v="3"/>
    <x v="0"/>
    <s v="Laptop"/>
    <x v="1"/>
    <n v="18"/>
    <n v="15624"/>
    <n v="15562"/>
    <n v="4261.38"/>
    <n v="0.2727457757296467"/>
  </r>
  <r>
    <s v="2025-12-24"/>
    <x v="8"/>
    <x v="0"/>
    <x v="0"/>
    <x v="2"/>
    <s v="Laptop"/>
    <x v="1"/>
    <n v="7"/>
    <n v="8995"/>
    <n v="14328"/>
    <n v="1740.2"/>
    <n v="0.19346303501945525"/>
  </r>
  <r>
    <s v="2025-03-01"/>
    <x v="7"/>
    <x v="0"/>
    <x v="2"/>
    <x v="4"/>
    <s v="Laptop"/>
    <x v="1"/>
    <n v="15"/>
    <n v="2595"/>
    <n v="7894"/>
    <n v="545.04"/>
    <n v="0.21003468208092485"/>
  </r>
  <r>
    <s v="2025-08-11"/>
    <x v="1"/>
    <x v="0"/>
    <x v="1"/>
    <x v="1"/>
    <s v="Desk Chair"/>
    <x v="0"/>
    <n v="13"/>
    <n v="17927"/>
    <n v="14846"/>
    <n v="3770.81"/>
    <n v="0.21034250013945446"/>
  </r>
  <r>
    <s v="2025-01-31"/>
    <x v="5"/>
    <x v="0"/>
    <x v="3"/>
    <x v="1"/>
    <s v="Phone"/>
    <x v="1"/>
    <n v="16"/>
    <n v="8896"/>
    <n v="8845"/>
    <n v="2558.56"/>
    <n v="0.28760791366906474"/>
  </r>
  <r>
    <s v="2025-11-13"/>
    <x v="2"/>
    <x v="0"/>
    <x v="2"/>
    <x v="3"/>
    <s v="Printer"/>
    <x v="2"/>
    <n v="18"/>
    <n v="12294"/>
    <n v="10180"/>
    <n v="2838.14"/>
    <n v="0.23085570196843988"/>
  </r>
  <r>
    <s v="2025-05-30"/>
    <x v="3"/>
    <x v="0"/>
    <x v="0"/>
    <x v="2"/>
    <s v="Printer"/>
    <x v="2"/>
    <n v="5"/>
    <n v="5770"/>
    <n v="16668"/>
    <n v="1644.64"/>
    <n v="0.28503292894280763"/>
  </r>
  <r>
    <s v="2025-09-07"/>
    <x v="6"/>
    <x v="0"/>
    <x v="1"/>
    <x v="2"/>
    <s v="Printer"/>
    <x v="2"/>
    <n v="14"/>
    <n v="9240"/>
    <n v="19599"/>
    <n v="1097.54"/>
    <n v="0.11878138528138528"/>
  </r>
  <r>
    <s v="2025-11-08"/>
    <x v="2"/>
    <x v="0"/>
    <x v="0"/>
    <x v="4"/>
    <s v="Monitor"/>
    <x v="1"/>
    <n v="2"/>
    <n v="2374"/>
    <n v="7259"/>
    <n v="451.92"/>
    <n v="0.19036225779275484"/>
  </r>
  <r>
    <s v="2025-09-04"/>
    <x v="6"/>
    <x v="0"/>
    <x v="1"/>
    <x v="3"/>
    <s v="Printer"/>
    <x v="2"/>
    <n v="6"/>
    <n v="8640"/>
    <n v="5622"/>
    <n v="1517.26"/>
    <n v="0.1756087962962963"/>
  </r>
  <r>
    <s v="2025-04-15"/>
    <x v="9"/>
    <x v="0"/>
    <x v="2"/>
    <x v="4"/>
    <s v="Laptop"/>
    <x v="1"/>
    <n v="10"/>
    <n v="13650"/>
    <n v="19347"/>
    <n v="3609.06"/>
    <n v="0.26439999999999997"/>
  </r>
  <r>
    <s v="2025-08-16"/>
    <x v="1"/>
    <x v="0"/>
    <x v="0"/>
    <x v="4"/>
    <s v="Tablet"/>
    <x v="1"/>
    <n v="10"/>
    <n v="6840"/>
    <n v="6379"/>
    <n v="1549.65"/>
    <n v="0.22655701754385965"/>
  </r>
  <r>
    <s v="2025-11-28"/>
    <x v="2"/>
    <x v="0"/>
    <x v="0"/>
    <x v="3"/>
    <s v="Printer"/>
    <x v="2"/>
    <n v="8"/>
    <n v="4712"/>
    <n v="13193"/>
    <n v="794.71"/>
    <n v="0.16865662139219015"/>
  </r>
  <r>
    <s v="2025-10-27"/>
    <x v="10"/>
    <x v="0"/>
    <x v="3"/>
    <x v="4"/>
    <s v="Printer"/>
    <x v="2"/>
    <n v="8"/>
    <n v="7784"/>
    <n v="8531"/>
    <n v="2191.7800000000002"/>
    <n v="0.28157502569373077"/>
  </r>
  <r>
    <s v="2025-02-03"/>
    <x v="11"/>
    <x v="0"/>
    <x v="0"/>
    <x v="2"/>
    <s v="Printer"/>
    <x v="2"/>
    <n v="8"/>
    <n v="4848"/>
    <n v="7912"/>
    <n v="1163.5"/>
    <n v="0.23999587458745875"/>
  </r>
  <r>
    <s v="2025-04-14"/>
    <x v="9"/>
    <x v="0"/>
    <x v="1"/>
    <x v="4"/>
    <s v="Monitor"/>
    <x v="1"/>
    <n v="4"/>
    <n v="4268"/>
    <n v="14889"/>
    <n v="739.34"/>
    <n v="0.1732286785379569"/>
  </r>
  <r>
    <s v="2025-04-08"/>
    <x v="9"/>
    <x v="0"/>
    <x v="0"/>
    <x v="0"/>
    <s v="Desk Chair"/>
    <x v="0"/>
    <n v="3"/>
    <n v="558"/>
    <n v="16737"/>
    <n v="104.71"/>
    <n v="0.18765232974910392"/>
  </r>
  <r>
    <s v="2025-04-07"/>
    <x v="9"/>
    <x v="0"/>
    <x v="2"/>
    <x v="3"/>
    <s v="Printer"/>
    <x v="2"/>
    <n v="11"/>
    <n v="8811"/>
    <n v="14725"/>
    <n v="1224.21"/>
    <n v="0.13894109635682669"/>
  </r>
  <r>
    <s v="2025-10-03"/>
    <x v="10"/>
    <x v="0"/>
    <x v="3"/>
    <x v="2"/>
    <s v="Tablet"/>
    <x v="1"/>
    <n v="5"/>
    <n v="2065"/>
    <n v="15858"/>
    <n v="597.83000000000004"/>
    <n v="0.28950605326876516"/>
  </r>
  <r>
    <s v="2025-12-30"/>
    <x v="8"/>
    <x v="0"/>
    <x v="0"/>
    <x v="4"/>
    <s v="Printer"/>
    <x v="2"/>
    <n v="3"/>
    <n v="2667"/>
    <n v="9494"/>
    <n v="566.66"/>
    <n v="0.21247094113235845"/>
  </r>
  <r>
    <s v="2025-03-30"/>
    <x v="7"/>
    <x v="0"/>
    <x v="0"/>
    <x v="3"/>
    <s v="Phone"/>
    <x v="1"/>
    <n v="1"/>
    <n v="1327"/>
    <n v="12319"/>
    <n v="261.83"/>
    <n v="0.19730972117558401"/>
  </r>
  <r>
    <s v="2025-02-09"/>
    <x v="11"/>
    <x v="0"/>
    <x v="3"/>
    <x v="0"/>
    <s v="Monitor"/>
    <x v="1"/>
    <n v="6"/>
    <n v="8952"/>
    <n v="7377"/>
    <n v="1937.53"/>
    <n v="0.21643543342269883"/>
  </r>
  <r>
    <s v="2025-06-23"/>
    <x v="4"/>
    <x v="0"/>
    <x v="0"/>
    <x v="0"/>
    <s v="Printer"/>
    <x v="2"/>
    <n v="5"/>
    <n v="7000"/>
    <n v="17928"/>
    <n v="827.46"/>
    <n v="0.11820857142857144"/>
  </r>
  <r>
    <s v="2025-05-25"/>
    <x v="3"/>
    <x v="0"/>
    <x v="3"/>
    <x v="1"/>
    <s v="Monitor"/>
    <x v="1"/>
    <n v="10"/>
    <n v="12150"/>
    <n v="7872"/>
    <n v="2994.44"/>
    <n v="0.24645596707818931"/>
  </r>
  <r>
    <s v="2025-10-28"/>
    <x v="10"/>
    <x v="0"/>
    <x v="2"/>
    <x v="1"/>
    <s v="Monitor"/>
    <x v="1"/>
    <n v="18"/>
    <n v="2988"/>
    <n v="17180"/>
    <n v="545.39"/>
    <n v="0.18252677376171353"/>
  </r>
  <r>
    <s v="2025-04-29"/>
    <x v="9"/>
    <x v="0"/>
    <x v="0"/>
    <x v="3"/>
    <s v="Phone"/>
    <x v="1"/>
    <n v="20"/>
    <n v="15060"/>
    <n v="15437"/>
    <n v="2267.3200000000002"/>
    <n v="0.15055245683930943"/>
  </r>
  <r>
    <s v="2025-07-18"/>
    <x v="0"/>
    <x v="0"/>
    <x v="1"/>
    <x v="3"/>
    <s v="Phone"/>
    <x v="1"/>
    <n v="15"/>
    <n v="15735"/>
    <n v="16000"/>
    <n v="1743.41"/>
    <n v="0.1107982205274865"/>
  </r>
  <r>
    <s v="2025-12-11"/>
    <x v="8"/>
    <x v="0"/>
    <x v="1"/>
    <x v="1"/>
    <s v="Monitor"/>
    <x v="1"/>
    <n v="4"/>
    <n v="3588"/>
    <n v="11354"/>
    <n v="824.73"/>
    <n v="0.22985785953177257"/>
  </r>
  <r>
    <s v="2025-04-21"/>
    <x v="9"/>
    <x v="0"/>
    <x v="1"/>
    <x v="0"/>
    <s v="Laptop"/>
    <x v="1"/>
    <n v="3"/>
    <n v="1962"/>
    <n v="16164"/>
    <n v="358.72"/>
    <n v="0.18283384301732927"/>
  </r>
  <r>
    <s v="2025-12-19"/>
    <x v="8"/>
    <x v="0"/>
    <x v="1"/>
    <x v="4"/>
    <s v="Desk Chair"/>
    <x v="0"/>
    <n v="4"/>
    <n v="412"/>
    <n v="11627"/>
    <n v="49.08"/>
    <n v="0.11912621359223301"/>
  </r>
  <r>
    <s v="2025-10-11"/>
    <x v="10"/>
    <x v="0"/>
    <x v="0"/>
    <x v="2"/>
    <s v="Monitor"/>
    <x v="1"/>
    <n v="9"/>
    <n v="10944"/>
    <n v="16842"/>
    <n v="1957.47"/>
    <n v="0.1788623903508772"/>
  </r>
  <r>
    <s v="2025-05-10"/>
    <x v="3"/>
    <x v="0"/>
    <x v="0"/>
    <x v="3"/>
    <s v="Laptop"/>
    <x v="1"/>
    <n v="11"/>
    <n v="3091"/>
    <n v="8381"/>
    <n v="866.2"/>
    <n v="0.28023293432546104"/>
  </r>
  <r>
    <s v="2025-12-11"/>
    <x v="8"/>
    <x v="0"/>
    <x v="3"/>
    <x v="3"/>
    <s v="Monitor"/>
    <x v="1"/>
    <n v="8"/>
    <n v="5176"/>
    <n v="8930"/>
    <n v="1025.99"/>
    <n v="0.19822063369397219"/>
  </r>
  <r>
    <s v="2025-12-11"/>
    <x v="8"/>
    <x v="0"/>
    <x v="3"/>
    <x v="2"/>
    <s v="Monitor"/>
    <x v="1"/>
    <n v="15"/>
    <n v="12915"/>
    <n v="18912"/>
    <n v="2270.5100000000002"/>
    <n v="0.17580410375532329"/>
  </r>
  <r>
    <s v="2025-01-09"/>
    <x v="5"/>
    <x v="0"/>
    <x v="1"/>
    <x v="4"/>
    <s v="Tablet"/>
    <x v="1"/>
    <n v="19"/>
    <n v="2052"/>
    <n v="15479"/>
    <n v="245.81"/>
    <n v="0.11979044834307992"/>
  </r>
  <r>
    <s v="2025-01-11"/>
    <x v="5"/>
    <x v="0"/>
    <x v="3"/>
    <x v="0"/>
    <s v="Monitor"/>
    <x v="1"/>
    <n v="17"/>
    <n v="14365"/>
    <n v="6657"/>
    <n v="3970.24"/>
    <n v="0.2763828750435085"/>
  </r>
  <r>
    <s v="2025-11-22"/>
    <x v="2"/>
    <x v="0"/>
    <x v="1"/>
    <x v="3"/>
    <s v="Phone"/>
    <x v="1"/>
    <n v="11"/>
    <n v="7799"/>
    <n v="18624"/>
    <n v="2068.25"/>
    <n v="0.26519425567380434"/>
  </r>
  <r>
    <s v="2025-03-06"/>
    <x v="7"/>
    <x v="0"/>
    <x v="3"/>
    <x v="2"/>
    <s v="Desk Chair"/>
    <x v="0"/>
    <n v="6"/>
    <n v="2898"/>
    <n v="19206"/>
    <n v="349.43"/>
    <n v="0.12057625948930296"/>
  </r>
  <r>
    <s v="2025-02-07"/>
    <x v="11"/>
    <x v="0"/>
    <x v="0"/>
    <x v="3"/>
    <s v="Tablet"/>
    <x v="1"/>
    <n v="16"/>
    <n v="5600"/>
    <n v="14329"/>
    <n v="719.13"/>
    <n v="0.12841607142857142"/>
  </r>
  <r>
    <s v="2025-11-07"/>
    <x v="2"/>
    <x v="0"/>
    <x v="2"/>
    <x v="4"/>
    <s v="Desk Chair"/>
    <x v="0"/>
    <n v="2"/>
    <n v="1176"/>
    <n v="16294"/>
    <n v="272.32"/>
    <n v="0.23156462585034013"/>
  </r>
  <r>
    <s v="2025-04-20"/>
    <x v="9"/>
    <x v="0"/>
    <x v="3"/>
    <x v="3"/>
    <s v="Tablet"/>
    <x v="1"/>
    <n v="16"/>
    <n v="23008"/>
    <n v="8403"/>
    <n v="6218.91"/>
    <n v="0.27029337621696803"/>
  </r>
  <r>
    <s v="2025-09-15"/>
    <x v="6"/>
    <x v="0"/>
    <x v="3"/>
    <x v="1"/>
    <s v="Laptop"/>
    <x v="1"/>
    <n v="4"/>
    <n v="5428"/>
    <n v="11600"/>
    <n v="1169.43"/>
    <n v="0.2154439941046426"/>
  </r>
  <r>
    <s v="2025-12-23"/>
    <x v="8"/>
    <x v="0"/>
    <x v="0"/>
    <x v="4"/>
    <s v="Monitor"/>
    <x v="1"/>
    <n v="8"/>
    <n v="2720"/>
    <n v="18835"/>
    <n v="579.57000000000005"/>
    <n v="0.21307720588235296"/>
  </r>
  <r>
    <s v="2025-11-14"/>
    <x v="2"/>
    <x v="0"/>
    <x v="3"/>
    <x v="4"/>
    <s v="Monitor"/>
    <x v="1"/>
    <n v="14"/>
    <n v="5992"/>
    <n v="7061"/>
    <n v="1410.4"/>
    <n v="0.23538050734312418"/>
  </r>
  <r>
    <s v="2025-07-21"/>
    <x v="0"/>
    <x v="0"/>
    <x v="1"/>
    <x v="1"/>
    <s v="Phone"/>
    <x v="1"/>
    <n v="10"/>
    <n v="2740"/>
    <n v="5313"/>
    <n v="592.42999999999995"/>
    <n v="0.21621532846715327"/>
  </r>
  <r>
    <s v="2025-04-27"/>
    <x v="9"/>
    <x v="0"/>
    <x v="3"/>
    <x v="0"/>
    <s v="Phone"/>
    <x v="1"/>
    <n v="3"/>
    <n v="1488"/>
    <n v="17566"/>
    <n v="314.52"/>
    <n v="0.21137096774193548"/>
  </r>
  <r>
    <s v="2025-05-09"/>
    <x v="3"/>
    <x v="0"/>
    <x v="2"/>
    <x v="4"/>
    <s v="Printer"/>
    <x v="2"/>
    <n v="7"/>
    <n v="1526"/>
    <n v="10552"/>
    <n v="457.17"/>
    <n v="0.29958715596330276"/>
  </r>
  <r>
    <s v="2025-12-21"/>
    <x v="8"/>
    <x v="0"/>
    <x v="3"/>
    <x v="4"/>
    <s v="Phone"/>
    <x v="1"/>
    <n v="8"/>
    <n v="1864"/>
    <n v="6809"/>
    <n v="414.96"/>
    <n v="0.22261802575107295"/>
  </r>
  <r>
    <s v="2025-05-20"/>
    <x v="3"/>
    <x v="0"/>
    <x v="3"/>
    <x v="2"/>
    <s v="Tablet"/>
    <x v="1"/>
    <n v="4"/>
    <n v="2760"/>
    <n v="8610"/>
    <n v="536.29"/>
    <n v="0.19430797101449274"/>
  </r>
  <r>
    <s v="2025-07-02"/>
    <x v="0"/>
    <x v="0"/>
    <x v="1"/>
    <x v="2"/>
    <s v="Phone"/>
    <x v="1"/>
    <n v="11"/>
    <n v="7073"/>
    <n v="18031"/>
    <n v="1737.88"/>
    <n v="0.24570620670154109"/>
  </r>
  <r>
    <s v="2025-05-20"/>
    <x v="3"/>
    <x v="0"/>
    <x v="1"/>
    <x v="2"/>
    <s v="Desk Chair"/>
    <x v="0"/>
    <n v="10"/>
    <n v="8160"/>
    <n v="13574"/>
    <n v="1686.31"/>
    <n v="0.20665563725490196"/>
  </r>
  <r>
    <s v="2025-12-06"/>
    <x v="8"/>
    <x v="0"/>
    <x v="2"/>
    <x v="1"/>
    <s v="Desk Chair"/>
    <x v="0"/>
    <n v="15"/>
    <n v="4320"/>
    <n v="6691"/>
    <n v="1142.03"/>
    <n v="0.26435879629629627"/>
  </r>
  <r>
    <s v="2025-04-25"/>
    <x v="9"/>
    <x v="0"/>
    <x v="1"/>
    <x v="2"/>
    <s v="Tablet"/>
    <x v="1"/>
    <n v="3"/>
    <n v="3951"/>
    <n v="9198"/>
    <n v="719.45"/>
    <n v="0.18209314097696785"/>
  </r>
  <r>
    <s v="2025-09-20"/>
    <x v="6"/>
    <x v="0"/>
    <x v="1"/>
    <x v="1"/>
    <s v="Phone"/>
    <x v="1"/>
    <n v="17"/>
    <n v="22440"/>
    <n v="5716"/>
    <n v="3232.93"/>
    <n v="0.14406996434937611"/>
  </r>
  <r>
    <s v="2025-10-20"/>
    <x v="10"/>
    <x v="0"/>
    <x v="1"/>
    <x v="3"/>
    <s v="Tablet"/>
    <x v="1"/>
    <n v="1"/>
    <n v="800"/>
    <n v="19098"/>
    <n v="202.98"/>
    <n v="0.25372499999999998"/>
  </r>
  <r>
    <s v="2025-10-08"/>
    <x v="10"/>
    <x v="0"/>
    <x v="2"/>
    <x v="0"/>
    <s v="Monitor"/>
    <x v="1"/>
    <n v="14"/>
    <n v="1764"/>
    <n v="15113"/>
    <n v="325.77"/>
    <n v="0.1846768707482993"/>
  </r>
  <r>
    <s v="2025-08-20"/>
    <x v="1"/>
    <x v="0"/>
    <x v="1"/>
    <x v="3"/>
    <s v="Phone"/>
    <x v="1"/>
    <n v="3"/>
    <n v="1818"/>
    <n v="12249"/>
    <n v="350.37"/>
    <n v="0.19272277227722773"/>
  </r>
  <r>
    <s v="2025-07-23"/>
    <x v="0"/>
    <x v="0"/>
    <x v="3"/>
    <x v="1"/>
    <s v="Tablet"/>
    <x v="1"/>
    <n v="17"/>
    <n v="16269"/>
    <n v="18179"/>
    <n v="3949.34"/>
    <n v="0.24275247403036451"/>
  </r>
  <r>
    <s v="2025-08-21"/>
    <x v="1"/>
    <x v="0"/>
    <x v="1"/>
    <x v="4"/>
    <s v="Desk Chair"/>
    <x v="0"/>
    <n v="17"/>
    <n v="3927"/>
    <n v="17691"/>
    <n v="1174.95"/>
    <n v="0.29919786096256684"/>
  </r>
  <r>
    <s v="2025-04-13"/>
    <x v="9"/>
    <x v="0"/>
    <x v="1"/>
    <x v="1"/>
    <s v="Tablet"/>
    <x v="1"/>
    <n v="16"/>
    <n v="7616"/>
    <n v="15946"/>
    <n v="1223.53"/>
    <n v="0.16065257352941176"/>
  </r>
  <r>
    <s v="2025-05-24"/>
    <x v="3"/>
    <x v="0"/>
    <x v="1"/>
    <x v="0"/>
    <s v="Phone"/>
    <x v="1"/>
    <n v="10"/>
    <n v="12830"/>
    <n v="16722"/>
    <n v="3650.24"/>
    <n v="0.2845081839438815"/>
  </r>
  <r>
    <s v="2025-02-27"/>
    <x v="11"/>
    <x v="0"/>
    <x v="2"/>
    <x v="0"/>
    <s v="Printer"/>
    <x v="2"/>
    <n v="7"/>
    <n v="1638"/>
    <n v="17813"/>
    <n v="470.93"/>
    <n v="0.28750305250305253"/>
  </r>
  <r>
    <s v="2025-03-01"/>
    <x v="7"/>
    <x v="0"/>
    <x v="3"/>
    <x v="2"/>
    <s v="Laptop"/>
    <x v="1"/>
    <n v="20"/>
    <n v="7740"/>
    <n v="16488"/>
    <n v="1425.76"/>
    <n v="0.18420671834625324"/>
  </r>
  <r>
    <s v="2025-09-22"/>
    <x v="6"/>
    <x v="0"/>
    <x v="3"/>
    <x v="1"/>
    <s v="Laptop"/>
    <x v="1"/>
    <n v="7"/>
    <n v="2772"/>
    <n v="16460"/>
    <n v="380.59"/>
    <n v="0.13729797979797978"/>
  </r>
  <r>
    <s v="2025-09-24"/>
    <x v="6"/>
    <x v="0"/>
    <x v="1"/>
    <x v="2"/>
    <s v="Laptop"/>
    <x v="1"/>
    <n v="12"/>
    <n v="4524"/>
    <n v="6635"/>
    <n v="628.59"/>
    <n v="0.13894562334217508"/>
  </r>
  <r>
    <s v="2025-06-25"/>
    <x v="4"/>
    <x v="0"/>
    <x v="2"/>
    <x v="3"/>
    <s v="Laptop"/>
    <x v="1"/>
    <n v="17"/>
    <n v="17527"/>
    <n v="18690"/>
    <n v="4437.4799999999996"/>
    <n v="0.25317966565869798"/>
  </r>
  <r>
    <s v="2025-07-06"/>
    <x v="0"/>
    <x v="0"/>
    <x v="2"/>
    <x v="3"/>
    <s v="Phone"/>
    <x v="1"/>
    <n v="3"/>
    <n v="3738"/>
    <n v="19625"/>
    <n v="789.32"/>
    <n v="0.2111610486891386"/>
  </r>
  <r>
    <s v="2025-09-08"/>
    <x v="6"/>
    <x v="0"/>
    <x v="3"/>
    <x v="4"/>
    <s v="Monitor"/>
    <x v="1"/>
    <n v="7"/>
    <n v="1897"/>
    <n v="6748"/>
    <n v="367.59"/>
    <n v="0.19377438060094884"/>
  </r>
  <r>
    <s v="2025-02-17"/>
    <x v="11"/>
    <x v="0"/>
    <x v="0"/>
    <x v="4"/>
    <s v="Phone"/>
    <x v="1"/>
    <n v="13"/>
    <n v="12116"/>
    <n v="19691"/>
    <n v="2536.09"/>
    <n v="0.2093174314955431"/>
  </r>
  <r>
    <s v="2025-09-30"/>
    <x v="6"/>
    <x v="0"/>
    <x v="2"/>
    <x v="2"/>
    <s v="Phone"/>
    <x v="1"/>
    <n v="8"/>
    <n v="10928"/>
    <n v="9227"/>
    <n v="1722.13"/>
    <n v="0.15758876281112738"/>
  </r>
  <r>
    <s v="2025-09-04"/>
    <x v="6"/>
    <x v="0"/>
    <x v="3"/>
    <x v="2"/>
    <s v="Tablet"/>
    <x v="1"/>
    <n v="8"/>
    <n v="11952"/>
    <n v="5442"/>
    <n v="1682.68"/>
    <n v="0.14078647925033469"/>
  </r>
  <r>
    <s v="2025-11-19"/>
    <x v="2"/>
    <x v="0"/>
    <x v="0"/>
    <x v="4"/>
    <s v="Printer"/>
    <x v="2"/>
    <n v="5"/>
    <n v="7160"/>
    <n v="18155"/>
    <n v="1487.42"/>
    <n v="0.20774022346368717"/>
  </r>
  <r>
    <s v="2025-12-24"/>
    <x v="8"/>
    <x v="0"/>
    <x v="2"/>
    <x v="0"/>
    <s v="Laptop"/>
    <x v="1"/>
    <n v="16"/>
    <n v="18784"/>
    <n v="14238"/>
    <n v="2824.52"/>
    <n v="0.150368398637138"/>
  </r>
  <r>
    <s v="2025-08-03"/>
    <x v="1"/>
    <x v="0"/>
    <x v="0"/>
    <x v="3"/>
    <s v="Tablet"/>
    <x v="1"/>
    <n v="12"/>
    <n v="2100"/>
    <n v="15884"/>
    <n v="377.37"/>
    <n v="0.1797"/>
  </r>
  <r>
    <s v="2025-01-23"/>
    <x v="5"/>
    <x v="0"/>
    <x v="2"/>
    <x v="0"/>
    <s v="Tablet"/>
    <x v="1"/>
    <n v="7"/>
    <n v="8351"/>
    <n v="7219"/>
    <n v="1594.35"/>
    <n v="0.19091725541851273"/>
  </r>
  <r>
    <s v="2025-10-20"/>
    <x v="10"/>
    <x v="0"/>
    <x v="2"/>
    <x v="2"/>
    <s v="Desk Chair"/>
    <x v="0"/>
    <n v="19"/>
    <n v="21052"/>
    <n v="16959"/>
    <n v="3219.49"/>
    <n v="0.15293036291088732"/>
  </r>
  <r>
    <s v="2025-06-23"/>
    <x v="4"/>
    <x v="0"/>
    <x v="1"/>
    <x v="3"/>
    <s v="Monitor"/>
    <x v="1"/>
    <n v="12"/>
    <n v="15348"/>
    <n v="15344"/>
    <n v="4249.0200000000004"/>
    <n v="0.27684519155590309"/>
  </r>
  <r>
    <s v="2025-10-20"/>
    <x v="10"/>
    <x v="0"/>
    <x v="1"/>
    <x v="3"/>
    <s v="Laptop"/>
    <x v="1"/>
    <n v="19"/>
    <n v="15637"/>
    <n v="14138"/>
    <n v="4069.27"/>
    <n v="0.26023342073287714"/>
  </r>
  <r>
    <s v="2025-12-26"/>
    <x v="8"/>
    <x v="0"/>
    <x v="0"/>
    <x v="1"/>
    <s v="Desk Chair"/>
    <x v="0"/>
    <n v="5"/>
    <n v="6235"/>
    <n v="8787"/>
    <n v="1739.88"/>
    <n v="0.27905052125100244"/>
  </r>
  <r>
    <s v="2025-03-29"/>
    <x v="7"/>
    <x v="0"/>
    <x v="1"/>
    <x v="3"/>
    <s v="Tablet"/>
    <x v="1"/>
    <n v="16"/>
    <n v="7872"/>
    <n v="10149"/>
    <n v="1112.28"/>
    <n v="0.14129573170731707"/>
  </r>
  <r>
    <s v="2025-05-31"/>
    <x v="3"/>
    <x v="0"/>
    <x v="2"/>
    <x v="4"/>
    <s v="Phone"/>
    <x v="1"/>
    <n v="11"/>
    <n v="8723"/>
    <n v="15162"/>
    <n v="2363.4299999999998"/>
    <n v="0.27094233635217241"/>
  </r>
  <r>
    <s v="2025-01-29"/>
    <x v="5"/>
    <x v="0"/>
    <x v="2"/>
    <x v="4"/>
    <s v="Monitor"/>
    <x v="1"/>
    <n v="12"/>
    <n v="9048"/>
    <n v="5060"/>
    <n v="1198.81"/>
    <n v="0.13249447391688771"/>
  </r>
  <r>
    <s v="2025-10-26"/>
    <x v="10"/>
    <x v="0"/>
    <x v="0"/>
    <x v="1"/>
    <s v="Tablet"/>
    <x v="1"/>
    <n v="20"/>
    <n v="13300"/>
    <n v="16068"/>
    <n v="3590.5"/>
    <n v="0.26996240601503757"/>
  </r>
  <r>
    <s v="2025-01-02"/>
    <x v="5"/>
    <x v="0"/>
    <x v="1"/>
    <x v="2"/>
    <s v="Tablet"/>
    <x v="1"/>
    <n v="18"/>
    <n v="3186"/>
    <n v="19240"/>
    <n v="349.22"/>
    <n v="0.10961079723791589"/>
  </r>
  <r>
    <s v="2025-09-11"/>
    <x v="6"/>
    <x v="0"/>
    <x v="0"/>
    <x v="2"/>
    <s v="Printer"/>
    <x v="2"/>
    <n v="8"/>
    <n v="11536"/>
    <n v="9310"/>
    <n v="2577.8200000000002"/>
    <n v="0.22345873786407769"/>
  </r>
  <r>
    <s v="2025-05-04"/>
    <x v="3"/>
    <x v="0"/>
    <x v="3"/>
    <x v="4"/>
    <s v="Monitor"/>
    <x v="1"/>
    <n v="8"/>
    <n v="4928"/>
    <n v="7915"/>
    <n v="606.19000000000005"/>
    <n v="0.12300933441558443"/>
  </r>
  <r>
    <s v="2025-08-12"/>
    <x v="1"/>
    <x v="0"/>
    <x v="3"/>
    <x v="0"/>
    <s v="Laptop"/>
    <x v="1"/>
    <n v="12"/>
    <n v="14664"/>
    <n v="7115"/>
    <n v="1613.89"/>
    <n v="0.11005796508456084"/>
  </r>
  <r>
    <s v="2025-05-27"/>
    <x v="3"/>
    <x v="0"/>
    <x v="1"/>
    <x v="4"/>
    <s v="Laptop"/>
    <x v="1"/>
    <n v="13"/>
    <n v="18577"/>
    <n v="15996"/>
    <n v="4559.53"/>
    <n v="0.24543952198955696"/>
  </r>
  <r>
    <s v="2025-05-04"/>
    <x v="3"/>
    <x v="0"/>
    <x v="2"/>
    <x v="4"/>
    <s v="Laptop"/>
    <x v="1"/>
    <n v="12"/>
    <n v="7992"/>
    <n v="10351"/>
    <n v="2052.7399999999998"/>
    <n v="0.25684934934934933"/>
  </r>
  <r>
    <s v="2025-03-21"/>
    <x v="7"/>
    <x v="0"/>
    <x v="0"/>
    <x v="1"/>
    <s v="Desk Chair"/>
    <x v="0"/>
    <n v="18"/>
    <n v="19872"/>
    <n v="10048"/>
    <n v="4031.22"/>
    <n v="0.2028592995169082"/>
  </r>
  <r>
    <s v="2025-05-05"/>
    <x v="3"/>
    <x v="0"/>
    <x v="0"/>
    <x v="0"/>
    <s v="Monitor"/>
    <x v="1"/>
    <n v="15"/>
    <n v="8880"/>
    <n v="8355"/>
    <n v="1867.21"/>
    <n v="0.21027139639639639"/>
  </r>
  <r>
    <s v="2025-01-29"/>
    <x v="5"/>
    <x v="0"/>
    <x v="0"/>
    <x v="1"/>
    <s v="Laptop"/>
    <x v="1"/>
    <n v="19"/>
    <n v="13376"/>
    <n v="15652"/>
    <n v="2426.5"/>
    <n v="0.1814069976076555"/>
  </r>
  <r>
    <s v="2025-02-19"/>
    <x v="11"/>
    <x v="0"/>
    <x v="1"/>
    <x v="2"/>
    <s v="Monitor"/>
    <x v="1"/>
    <n v="10"/>
    <n v="1120"/>
    <n v="18400"/>
    <n v="310.68"/>
    <n v="0.27739285714285716"/>
  </r>
  <r>
    <s v="2025-04-21"/>
    <x v="9"/>
    <x v="0"/>
    <x v="2"/>
    <x v="2"/>
    <s v="Tablet"/>
    <x v="1"/>
    <n v="10"/>
    <n v="1500"/>
    <n v="5149"/>
    <n v="214.73"/>
    <n v="0.14315333333333333"/>
  </r>
  <r>
    <s v="2025-01-31"/>
    <x v="5"/>
    <x v="0"/>
    <x v="1"/>
    <x v="4"/>
    <s v="Phone"/>
    <x v="1"/>
    <n v="20"/>
    <n v="2500"/>
    <n v="9694"/>
    <n v="654.24"/>
    <n v="0.26169599999999998"/>
  </r>
  <r>
    <s v="2025-01-10"/>
    <x v="5"/>
    <x v="0"/>
    <x v="0"/>
    <x v="2"/>
    <s v="Phone"/>
    <x v="1"/>
    <n v="8"/>
    <n v="9672"/>
    <n v="18108"/>
    <n v="1532.36"/>
    <n v="0.15843258891645987"/>
  </r>
  <r>
    <s v="2025-12-18"/>
    <x v="8"/>
    <x v="0"/>
    <x v="0"/>
    <x v="1"/>
    <s v="Desk Chair"/>
    <x v="0"/>
    <n v="4"/>
    <n v="4140"/>
    <n v="16565"/>
    <n v="446.63"/>
    <n v="0.1078816425120773"/>
  </r>
  <r>
    <s v="2025-06-11"/>
    <x v="4"/>
    <x v="0"/>
    <x v="1"/>
    <x v="1"/>
    <s v="Phone"/>
    <x v="1"/>
    <n v="15"/>
    <n v="18945"/>
    <n v="6216"/>
    <n v="3784.94"/>
    <n v="0.19978569543415151"/>
  </r>
  <r>
    <s v="2025-10-01"/>
    <x v="10"/>
    <x v="0"/>
    <x v="1"/>
    <x v="0"/>
    <s v="Desk Chair"/>
    <x v="0"/>
    <n v="19"/>
    <n v="18183"/>
    <n v="13766"/>
    <n v="3186.01"/>
    <n v="0.17521916075455096"/>
  </r>
  <r>
    <s v="2025-10-08"/>
    <x v="10"/>
    <x v="0"/>
    <x v="3"/>
    <x v="1"/>
    <s v="Monitor"/>
    <x v="1"/>
    <n v="19"/>
    <n v="7030"/>
    <n v="14126"/>
    <n v="1022.18"/>
    <n v="0.14540256045519204"/>
  </r>
  <r>
    <s v="2025-10-28"/>
    <x v="10"/>
    <x v="0"/>
    <x v="2"/>
    <x v="2"/>
    <s v="Monitor"/>
    <x v="1"/>
    <n v="1"/>
    <n v="551"/>
    <n v="15744"/>
    <n v="121.59"/>
    <n v="0.22067150635208713"/>
  </r>
  <r>
    <s v="2025-02-08"/>
    <x v="11"/>
    <x v="0"/>
    <x v="3"/>
    <x v="1"/>
    <s v="Printer"/>
    <x v="2"/>
    <n v="9"/>
    <n v="4275"/>
    <n v="10505"/>
    <n v="698.33"/>
    <n v="0.16335204678362575"/>
  </r>
  <r>
    <s v="2025-10-31"/>
    <x v="10"/>
    <x v="0"/>
    <x v="1"/>
    <x v="3"/>
    <s v="Tablet"/>
    <x v="1"/>
    <n v="2"/>
    <n v="1534"/>
    <n v="16197"/>
    <n v="257.11"/>
    <n v="0.16760756192959583"/>
  </r>
  <r>
    <s v="2025-08-12"/>
    <x v="1"/>
    <x v="0"/>
    <x v="0"/>
    <x v="4"/>
    <s v="Monitor"/>
    <x v="1"/>
    <n v="8"/>
    <n v="3016"/>
    <n v="18730"/>
    <n v="502.96"/>
    <n v="0.16676392572944296"/>
  </r>
  <r>
    <s v="2025-08-12"/>
    <x v="1"/>
    <x v="0"/>
    <x v="2"/>
    <x v="1"/>
    <s v="Monitor"/>
    <x v="1"/>
    <n v="17"/>
    <n v="15827"/>
    <n v="17766"/>
    <n v="2346.17"/>
    <n v="0.14823845327604726"/>
  </r>
  <r>
    <s v="2025-02-11"/>
    <x v="11"/>
    <x v="0"/>
    <x v="1"/>
    <x v="4"/>
    <s v="Monitor"/>
    <x v="1"/>
    <n v="1"/>
    <n v="937"/>
    <n v="5367"/>
    <n v="212.66"/>
    <n v="0.22695837780149414"/>
  </r>
  <r>
    <s v="2025-11-28"/>
    <x v="2"/>
    <x v="0"/>
    <x v="2"/>
    <x v="2"/>
    <s v="Desk Chair"/>
    <x v="0"/>
    <n v="5"/>
    <n v="6635"/>
    <n v="8598"/>
    <n v="1070.92"/>
    <n v="0.16140467219291638"/>
  </r>
  <r>
    <s v="2025-03-04"/>
    <x v="7"/>
    <x v="0"/>
    <x v="0"/>
    <x v="1"/>
    <s v="Phone"/>
    <x v="1"/>
    <n v="20"/>
    <n v="2060"/>
    <n v="19812"/>
    <n v="207.32"/>
    <n v="0.10064077669902913"/>
  </r>
  <r>
    <s v="2025-10-31"/>
    <x v="10"/>
    <x v="0"/>
    <x v="0"/>
    <x v="3"/>
    <s v="Desk Chair"/>
    <x v="0"/>
    <n v="16"/>
    <n v="10752"/>
    <n v="10905"/>
    <n v="1344.07"/>
    <n v="0.12500651041666666"/>
  </r>
  <r>
    <s v="2025-03-07"/>
    <x v="7"/>
    <x v="0"/>
    <x v="2"/>
    <x v="0"/>
    <s v="Phone"/>
    <x v="1"/>
    <n v="17"/>
    <n v="9282"/>
    <n v="5234"/>
    <n v="1998.72"/>
    <n v="0.21533290239172592"/>
  </r>
  <r>
    <s v="2025-05-28"/>
    <x v="3"/>
    <x v="0"/>
    <x v="3"/>
    <x v="4"/>
    <s v="Laptop"/>
    <x v="1"/>
    <n v="8"/>
    <n v="8048"/>
    <n v="11425"/>
    <n v="1176.28"/>
    <n v="0.14615805168986082"/>
  </r>
  <r>
    <s v="2025-12-28"/>
    <x v="8"/>
    <x v="0"/>
    <x v="3"/>
    <x v="0"/>
    <s v="Printer"/>
    <x v="2"/>
    <n v="13"/>
    <n v="10972"/>
    <n v="11684"/>
    <n v="1755.08"/>
    <n v="0.15995989792198323"/>
  </r>
  <r>
    <s v="2025-11-20"/>
    <x v="2"/>
    <x v="0"/>
    <x v="2"/>
    <x v="3"/>
    <s v="Phone"/>
    <x v="1"/>
    <n v="16"/>
    <n v="21264"/>
    <n v="17637"/>
    <n v="2207.2399999999998"/>
    <n v="0.10380173062452971"/>
  </r>
  <r>
    <s v="2025-05-05"/>
    <x v="3"/>
    <x v="0"/>
    <x v="1"/>
    <x v="1"/>
    <s v="Desk Chair"/>
    <x v="0"/>
    <n v="10"/>
    <n v="12300"/>
    <n v="12191"/>
    <n v="2066.83"/>
    <n v="0.16803495934959348"/>
  </r>
  <r>
    <s v="2025-01-27"/>
    <x v="5"/>
    <x v="0"/>
    <x v="2"/>
    <x v="4"/>
    <s v="Desk Chair"/>
    <x v="0"/>
    <n v="19"/>
    <n v="10108"/>
    <n v="13826"/>
    <n v="2878.7"/>
    <n v="0.28479422239810048"/>
  </r>
  <r>
    <s v="2025-04-28"/>
    <x v="9"/>
    <x v="0"/>
    <x v="3"/>
    <x v="3"/>
    <s v="Printer"/>
    <x v="2"/>
    <n v="10"/>
    <n v="7000"/>
    <n v="10575"/>
    <n v="1014.84"/>
    <n v="0.14497714285714286"/>
  </r>
  <r>
    <s v="2025-04-09"/>
    <x v="9"/>
    <x v="0"/>
    <x v="0"/>
    <x v="0"/>
    <s v="Monitor"/>
    <x v="1"/>
    <n v="15"/>
    <n v="12675"/>
    <n v="17639"/>
    <n v="3179.65"/>
    <n v="0.25085996055226822"/>
  </r>
  <r>
    <s v="2025-07-29"/>
    <x v="0"/>
    <x v="0"/>
    <x v="3"/>
    <x v="0"/>
    <s v="Phone"/>
    <x v="1"/>
    <n v="16"/>
    <n v="23888"/>
    <n v="15000"/>
    <n v="7141.75"/>
    <n v="0.29896810113864702"/>
  </r>
  <r>
    <s v="2025-04-09"/>
    <x v="9"/>
    <x v="0"/>
    <x v="2"/>
    <x v="3"/>
    <s v="Tablet"/>
    <x v="1"/>
    <n v="20"/>
    <n v="22460"/>
    <n v="12542"/>
    <n v="3233.19"/>
    <n v="0.14395325022261798"/>
  </r>
  <r>
    <s v="2025-07-17"/>
    <x v="0"/>
    <x v="0"/>
    <x v="2"/>
    <x v="0"/>
    <s v="Laptop"/>
    <x v="1"/>
    <n v="18"/>
    <n v="7434"/>
    <n v="18631"/>
    <n v="795.04"/>
    <n v="0.10694646220069949"/>
  </r>
  <r>
    <s v="2025-05-26"/>
    <x v="3"/>
    <x v="0"/>
    <x v="0"/>
    <x v="3"/>
    <s v="Tablet"/>
    <x v="1"/>
    <n v="16"/>
    <n v="5920"/>
    <n v="5905"/>
    <n v="842.71"/>
    <n v="0.14234966216216216"/>
  </r>
  <r>
    <s v="2025-02-08"/>
    <x v="11"/>
    <x v="0"/>
    <x v="1"/>
    <x v="4"/>
    <s v="Phone"/>
    <x v="1"/>
    <n v="6"/>
    <n v="3366"/>
    <n v="14781"/>
    <n v="443.87"/>
    <n v="0.13186868686868686"/>
  </r>
  <r>
    <s v="2025-10-15"/>
    <x v="10"/>
    <x v="0"/>
    <x v="1"/>
    <x v="4"/>
    <s v="Tablet"/>
    <x v="1"/>
    <n v="16"/>
    <n v="18896"/>
    <n v="10948"/>
    <n v="2755.1"/>
    <n v="0.14580334462320066"/>
  </r>
  <r>
    <s v="2025-02-09"/>
    <x v="11"/>
    <x v="0"/>
    <x v="1"/>
    <x v="4"/>
    <s v="Phone"/>
    <x v="1"/>
    <n v="19"/>
    <n v="17841"/>
    <n v="16218"/>
    <n v="4801.82"/>
    <n v="0.26914522728546603"/>
  </r>
  <r>
    <s v="2025-07-08"/>
    <x v="0"/>
    <x v="0"/>
    <x v="2"/>
    <x v="1"/>
    <s v="Laptop"/>
    <x v="1"/>
    <n v="7"/>
    <n v="9562"/>
    <n v="14366"/>
    <n v="2085.5"/>
    <n v="0.21810290734156035"/>
  </r>
  <r>
    <s v="2025-01-12"/>
    <x v="5"/>
    <x v="0"/>
    <x v="3"/>
    <x v="2"/>
    <s v="Tablet"/>
    <x v="1"/>
    <n v="8"/>
    <n v="5384"/>
    <n v="10193"/>
    <n v="1426.75"/>
    <n v="0.2649981426448737"/>
  </r>
  <r>
    <s v="2025-03-29"/>
    <x v="7"/>
    <x v="0"/>
    <x v="2"/>
    <x v="4"/>
    <s v="Laptop"/>
    <x v="1"/>
    <n v="6"/>
    <n v="2046"/>
    <n v="5524"/>
    <n v="442.23"/>
    <n v="0.21614369501466277"/>
  </r>
  <r>
    <s v="2025-07-11"/>
    <x v="0"/>
    <x v="0"/>
    <x v="1"/>
    <x v="3"/>
    <s v="Tablet"/>
    <x v="1"/>
    <n v="12"/>
    <n v="4776"/>
    <n v="9366"/>
    <n v="1176.52"/>
    <n v="0.24634003350083752"/>
  </r>
  <r>
    <s v="2025-11-08"/>
    <x v="2"/>
    <x v="0"/>
    <x v="3"/>
    <x v="0"/>
    <s v="Laptop"/>
    <x v="1"/>
    <n v="15"/>
    <n v="13785"/>
    <n v="13441"/>
    <n v="4105.4799999999996"/>
    <n v="0.29782227058396804"/>
  </r>
  <r>
    <s v="2025-12-30"/>
    <x v="8"/>
    <x v="0"/>
    <x v="1"/>
    <x v="0"/>
    <s v="Monitor"/>
    <x v="1"/>
    <n v="20"/>
    <n v="8380"/>
    <n v="6865"/>
    <n v="1866.8"/>
    <n v="0.22276849642004773"/>
  </r>
  <r>
    <s v="2025-04-21"/>
    <x v="9"/>
    <x v="0"/>
    <x v="0"/>
    <x v="4"/>
    <s v="Printer"/>
    <x v="2"/>
    <n v="17"/>
    <n v="9605"/>
    <n v="12841"/>
    <n v="2130.73"/>
    <n v="0.22183550234252994"/>
  </r>
  <r>
    <s v="2025-04-27"/>
    <x v="9"/>
    <x v="0"/>
    <x v="1"/>
    <x v="1"/>
    <s v="Monitor"/>
    <x v="1"/>
    <n v="8"/>
    <n v="9512"/>
    <n v="13173"/>
    <n v="2121.2800000000002"/>
    <n v="0.22301093355761145"/>
  </r>
  <r>
    <s v="2025-02-06"/>
    <x v="11"/>
    <x v="0"/>
    <x v="3"/>
    <x v="2"/>
    <s v="Laptop"/>
    <x v="1"/>
    <n v="3"/>
    <n v="792"/>
    <n v="15661"/>
    <n v="165.85"/>
    <n v="0.20940656565656565"/>
  </r>
  <r>
    <s v="2025-11-13"/>
    <x v="2"/>
    <x v="0"/>
    <x v="1"/>
    <x v="0"/>
    <s v="Phone"/>
    <x v="1"/>
    <n v="19"/>
    <n v="19266"/>
    <n v="9891"/>
    <n v="4888.72"/>
    <n v="0.25374857261496941"/>
  </r>
  <r>
    <s v="2025-11-17"/>
    <x v="2"/>
    <x v="0"/>
    <x v="3"/>
    <x v="0"/>
    <s v="Monitor"/>
    <x v="1"/>
    <n v="3"/>
    <n v="4356"/>
    <n v="7240"/>
    <n v="621.39"/>
    <n v="0.14265151515151514"/>
  </r>
  <r>
    <s v="2025-03-17"/>
    <x v="7"/>
    <x v="0"/>
    <x v="2"/>
    <x v="1"/>
    <s v="Laptop"/>
    <x v="1"/>
    <n v="12"/>
    <n v="15312"/>
    <n v="6286"/>
    <n v="1728.67"/>
    <n v="0.11289642110762801"/>
  </r>
  <r>
    <s v="2025-11-12"/>
    <x v="2"/>
    <x v="0"/>
    <x v="3"/>
    <x v="2"/>
    <s v="Phone"/>
    <x v="1"/>
    <n v="7"/>
    <n v="8834"/>
    <n v="5719"/>
    <n v="1659.23"/>
    <n v="0.18782318315598823"/>
  </r>
  <r>
    <s v="2025-11-17"/>
    <x v="2"/>
    <x v="0"/>
    <x v="1"/>
    <x v="1"/>
    <s v="Desk Chair"/>
    <x v="0"/>
    <n v="7"/>
    <n v="987"/>
    <n v="11562"/>
    <n v="161.61000000000001"/>
    <n v="0.16373860182370822"/>
  </r>
  <r>
    <s v="2025-06-28"/>
    <x v="4"/>
    <x v="0"/>
    <x v="3"/>
    <x v="3"/>
    <s v="Printer"/>
    <x v="2"/>
    <n v="19"/>
    <n v="2052"/>
    <n v="16295"/>
    <n v="468.67"/>
    <n v="0.22839668615984407"/>
  </r>
  <r>
    <s v="2025-01-19"/>
    <x v="5"/>
    <x v="0"/>
    <x v="0"/>
    <x v="0"/>
    <s v="Tablet"/>
    <x v="1"/>
    <n v="5"/>
    <n v="2855"/>
    <n v="11534"/>
    <n v="792.38"/>
    <n v="0.27754115586690015"/>
  </r>
  <r>
    <s v="2025-06-10"/>
    <x v="4"/>
    <x v="0"/>
    <x v="0"/>
    <x v="3"/>
    <s v="Tablet"/>
    <x v="1"/>
    <n v="9"/>
    <n v="2745"/>
    <n v="5880"/>
    <n v="584.39"/>
    <n v="0.21289253187613844"/>
  </r>
  <r>
    <s v="2025-08-19"/>
    <x v="1"/>
    <x v="0"/>
    <x v="2"/>
    <x v="0"/>
    <s v="Laptop"/>
    <x v="1"/>
    <n v="5"/>
    <n v="1040"/>
    <n v="19832"/>
    <n v="145.65"/>
    <n v="0.14004807692307694"/>
  </r>
  <r>
    <s v="2025-08-11"/>
    <x v="1"/>
    <x v="0"/>
    <x v="2"/>
    <x v="3"/>
    <s v="Phone"/>
    <x v="1"/>
    <n v="4"/>
    <n v="5728"/>
    <n v="14868"/>
    <n v="1468.3"/>
    <n v="0.2563372905027933"/>
  </r>
  <r>
    <s v="2025-07-19"/>
    <x v="0"/>
    <x v="0"/>
    <x v="3"/>
    <x v="0"/>
    <s v="Laptop"/>
    <x v="1"/>
    <n v="18"/>
    <n v="21834"/>
    <n v="18802"/>
    <n v="2548.0500000000002"/>
    <n v="0.11670101676284694"/>
  </r>
  <r>
    <s v="2025-06-18"/>
    <x v="4"/>
    <x v="0"/>
    <x v="1"/>
    <x v="2"/>
    <s v="Desk Chair"/>
    <x v="0"/>
    <n v="7"/>
    <n v="966"/>
    <n v="18742"/>
    <n v="215.94"/>
    <n v="0.22354037267080745"/>
  </r>
  <r>
    <s v="2025-05-30"/>
    <x v="3"/>
    <x v="0"/>
    <x v="2"/>
    <x v="2"/>
    <s v="Phone"/>
    <x v="1"/>
    <n v="9"/>
    <n v="4185"/>
    <n v="10798"/>
    <n v="1165.4000000000001"/>
    <n v="0.27847072879330947"/>
  </r>
  <r>
    <s v="2025-12-16"/>
    <x v="8"/>
    <x v="0"/>
    <x v="2"/>
    <x v="3"/>
    <s v="Monitor"/>
    <x v="1"/>
    <n v="9"/>
    <n v="8046"/>
    <n v="11597"/>
    <n v="1953.6"/>
    <n v="0.24280387770320655"/>
  </r>
  <r>
    <s v="2025-01-18"/>
    <x v="5"/>
    <x v="0"/>
    <x v="1"/>
    <x v="1"/>
    <s v="Desk Chair"/>
    <x v="0"/>
    <n v="12"/>
    <n v="2940"/>
    <n v="5340"/>
    <n v="822.41"/>
    <n v="0.27973129251700679"/>
  </r>
  <r>
    <s v="2025-01-11"/>
    <x v="5"/>
    <x v="0"/>
    <x v="3"/>
    <x v="1"/>
    <s v="Printer"/>
    <x v="2"/>
    <n v="11"/>
    <n v="13794"/>
    <n v="6082"/>
    <n v="3423.55"/>
    <n v="0.248191242569233"/>
  </r>
  <r>
    <s v="2025-03-02"/>
    <x v="7"/>
    <x v="0"/>
    <x v="2"/>
    <x v="3"/>
    <s v="Laptop"/>
    <x v="1"/>
    <n v="20"/>
    <n v="6860"/>
    <n v="10829"/>
    <n v="1397.46"/>
    <n v="0.20371137026239067"/>
  </r>
  <r>
    <s v="2025-02-09"/>
    <x v="11"/>
    <x v="0"/>
    <x v="0"/>
    <x v="3"/>
    <s v="Laptop"/>
    <x v="1"/>
    <n v="5"/>
    <n v="2690"/>
    <n v="5863"/>
    <n v="294.02999999999997"/>
    <n v="0.10930483271375464"/>
  </r>
  <r>
    <s v="2025-05-08"/>
    <x v="3"/>
    <x v="0"/>
    <x v="3"/>
    <x v="3"/>
    <s v="Desk Chair"/>
    <x v="0"/>
    <n v="19"/>
    <n v="11229"/>
    <n v="19156"/>
    <n v="3198.39"/>
    <n v="0.28483302164039537"/>
  </r>
  <r>
    <s v="2025-05-06"/>
    <x v="3"/>
    <x v="0"/>
    <x v="3"/>
    <x v="4"/>
    <s v="Tablet"/>
    <x v="1"/>
    <n v="5"/>
    <n v="6945"/>
    <n v="13087"/>
    <n v="1986.59"/>
    <n v="0.28604607631389489"/>
  </r>
  <r>
    <s v="2025-08-31"/>
    <x v="1"/>
    <x v="0"/>
    <x v="3"/>
    <x v="2"/>
    <s v="Desk Chair"/>
    <x v="0"/>
    <n v="2"/>
    <n v="2328"/>
    <n v="14746"/>
    <n v="412.16"/>
    <n v="0.17704467353951892"/>
  </r>
  <r>
    <s v="2025-04-24"/>
    <x v="9"/>
    <x v="0"/>
    <x v="0"/>
    <x v="1"/>
    <s v="Printer"/>
    <x v="2"/>
    <n v="16"/>
    <n v="19632"/>
    <n v="11988"/>
    <n v="3674.34"/>
    <n v="0.18716075794621029"/>
  </r>
  <r>
    <s v="2025-07-06"/>
    <x v="0"/>
    <x v="0"/>
    <x v="0"/>
    <x v="2"/>
    <s v="Printer"/>
    <x v="2"/>
    <n v="1"/>
    <n v="774"/>
    <n v="18766"/>
    <n v="96.24"/>
    <n v="0.12434108527131782"/>
  </r>
  <r>
    <s v="2025-07-18"/>
    <x v="0"/>
    <x v="0"/>
    <x v="0"/>
    <x v="0"/>
    <s v="Printer"/>
    <x v="2"/>
    <n v="18"/>
    <n v="5994"/>
    <n v="15357"/>
    <n v="778.68"/>
    <n v="0.12990990990990992"/>
  </r>
  <r>
    <s v="2025-08-19"/>
    <x v="1"/>
    <x v="0"/>
    <x v="3"/>
    <x v="1"/>
    <s v="Printer"/>
    <x v="2"/>
    <n v="12"/>
    <n v="8640"/>
    <n v="7657"/>
    <n v="1028.43"/>
    <n v="0.11903125000000001"/>
  </r>
  <r>
    <s v="2025-01-14"/>
    <x v="5"/>
    <x v="0"/>
    <x v="1"/>
    <x v="2"/>
    <s v="Desk Chair"/>
    <x v="0"/>
    <n v="20"/>
    <n v="4560"/>
    <n v="12379"/>
    <n v="1232.19"/>
    <n v="0.2702171052631579"/>
  </r>
  <r>
    <s v="2025-06-13"/>
    <x v="4"/>
    <x v="0"/>
    <x v="1"/>
    <x v="4"/>
    <s v="Laptop"/>
    <x v="1"/>
    <n v="16"/>
    <n v="8736"/>
    <n v="17215"/>
    <n v="1742.32"/>
    <n v="0.19944139194139193"/>
  </r>
  <r>
    <s v="2025-11-22"/>
    <x v="2"/>
    <x v="0"/>
    <x v="1"/>
    <x v="4"/>
    <s v="Phone"/>
    <x v="1"/>
    <n v="19"/>
    <n v="7239"/>
    <n v="8203"/>
    <n v="913.77"/>
    <n v="0.12622876087857438"/>
  </r>
  <r>
    <s v="2025-04-23"/>
    <x v="9"/>
    <x v="0"/>
    <x v="0"/>
    <x v="2"/>
    <s v="Tablet"/>
    <x v="1"/>
    <n v="17"/>
    <n v="4726"/>
    <n v="12155"/>
    <n v="990.37"/>
    <n v="0.20955776555226407"/>
  </r>
  <r>
    <s v="2025-06-17"/>
    <x v="4"/>
    <x v="0"/>
    <x v="3"/>
    <x v="3"/>
    <s v="Phone"/>
    <x v="1"/>
    <n v="17"/>
    <n v="7378"/>
    <n v="15837"/>
    <n v="1789.37"/>
    <n v="0.24252778530767144"/>
  </r>
  <r>
    <s v="2025-04-14"/>
    <x v="9"/>
    <x v="0"/>
    <x v="1"/>
    <x v="4"/>
    <s v="Monitor"/>
    <x v="1"/>
    <n v="2"/>
    <n v="680"/>
    <n v="11209"/>
    <n v="128.52000000000001"/>
    <n v="0.189"/>
  </r>
  <r>
    <s v="2025-06-27"/>
    <x v="4"/>
    <x v="0"/>
    <x v="1"/>
    <x v="2"/>
    <s v="Tablet"/>
    <x v="1"/>
    <n v="1"/>
    <n v="1087"/>
    <n v="18557"/>
    <n v="303.10000000000002"/>
    <n v="0.27884084636614537"/>
  </r>
  <r>
    <s v="2025-01-17"/>
    <x v="5"/>
    <x v="0"/>
    <x v="2"/>
    <x v="3"/>
    <s v="Laptop"/>
    <x v="1"/>
    <n v="7"/>
    <n v="9170"/>
    <n v="15596"/>
    <n v="957.43"/>
    <n v="0.10440894220283532"/>
  </r>
  <r>
    <s v="2025-12-14"/>
    <x v="8"/>
    <x v="0"/>
    <x v="2"/>
    <x v="2"/>
    <s v="Monitor"/>
    <x v="1"/>
    <n v="10"/>
    <n v="7940"/>
    <n v="5694"/>
    <n v="859.45"/>
    <n v="0.10824307304785895"/>
  </r>
  <r>
    <s v="2025-01-21"/>
    <x v="5"/>
    <x v="0"/>
    <x v="1"/>
    <x v="4"/>
    <s v="Monitor"/>
    <x v="1"/>
    <n v="7"/>
    <n v="2016"/>
    <n v="11033"/>
    <n v="399.25"/>
    <n v="0.19804067460317459"/>
  </r>
  <r>
    <s v="2025-10-30"/>
    <x v="10"/>
    <x v="0"/>
    <x v="1"/>
    <x v="3"/>
    <s v="Monitor"/>
    <x v="1"/>
    <n v="12"/>
    <n v="12492"/>
    <n v="15393"/>
    <n v="2193.44"/>
    <n v="0.17558757604867115"/>
  </r>
  <r>
    <s v="2025-02-01"/>
    <x v="11"/>
    <x v="0"/>
    <x v="1"/>
    <x v="4"/>
    <s v="Laptop"/>
    <x v="1"/>
    <n v="20"/>
    <n v="9500"/>
    <n v="6895"/>
    <n v="1619.37"/>
    <n v="0.17046"/>
  </r>
  <r>
    <s v="2025-06-15"/>
    <x v="4"/>
    <x v="0"/>
    <x v="0"/>
    <x v="3"/>
    <s v="Laptop"/>
    <x v="1"/>
    <n v="4"/>
    <n v="2608"/>
    <n v="8421"/>
    <n v="271.69"/>
    <n v="0.10417561349693251"/>
  </r>
  <r>
    <s v="2025-09-23"/>
    <x v="6"/>
    <x v="0"/>
    <x v="0"/>
    <x v="1"/>
    <s v="Laptop"/>
    <x v="1"/>
    <n v="16"/>
    <n v="16448"/>
    <n v="17749"/>
    <n v="3158.8"/>
    <n v="0.19204766536964982"/>
  </r>
  <r>
    <s v="2025-07-05"/>
    <x v="0"/>
    <x v="0"/>
    <x v="3"/>
    <x v="4"/>
    <s v="Desk Chair"/>
    <x v="0"/>
    <n v="12"/>
    <n v="13056"/>
    <n v="10771"/>
    <n v="3601.46"/>
    <n v="0.27584712009803924"/>
  </r>
  <r>
    <s v="2025-05-05"/>
    <x v="3"/>
    <x v="0"/>
    <x v="0"/>
    <x v="1"/>
    <s v="Tablet"/>
    <x v="1"/>
    <n v="18"/>
    <n v="18918"/>
    <n v="5903"/>
    <n v="1981.31"/>
    <n v="0.10473147267152975"/>
  </r>
  <r>
    <s v="2025-02-25"/>
    <x v="11"/>
    <x v="0"/>
    <x v="1"/>
    <x v="0"/>
    <s v="Laptop"/>
    <x v="1"/>
    <n v="10"/>
    <n v="3790"/>
    <n v="10979"/>
    <n v="437.4"/>
    <n v="0.11540897097625329"/>
  </r>
  <r>
    <s v="2025-09-16"/>
    <x v="6"/>
    <x v="0"/>
    <x v="2"/>
    <x v="0"/>
    <s v="Printer"/>
    <x v="2"/>
    <n v="16"/>
    <n v="15232"/>
    <n v="9147"/>
    <n v="2631.92"/>
    <n v="0.1727888655462185"/>
  </r>
  <r>
    <s v="2025-10-03"/>
    <x v="10"/>
    <x v="0"/>
    <x v="2"/>
    <x v="3"/>
    <s v="Phone"/>
    <x v="1"/>
    <n v="20"/>
    <n v="7300"/>
    <n v="13532"/>
    <n v="1184.51"/>
    <n v="0.16226164383561645"/>
  </r>
  <r>
    <s v="2025-01-09"/>
    <x v="5"/>
    <x v="0"/>
    <x v="1"/>
    <x v="4"/>
    <s v="Phone"/>
    <x v="1"/>
    <n v="11"/>
    <n v="6094"/>
    <n v="6110"/>
    <n v="1595.9"/>
    <n v="0.26188053823432889"/>
  </r>
  <r>
    <s v="2025-07-03"/>
    <x v="0"/>
    <x v="0"/>
    <x v="0"/>
    <x v="2"/>
    <s v="Tablet"/>
    <x v="1"/>
    <n v="6"/>
    <n v="2514"/>
    <n v="13408"/>
    <n v="646.03"/>
    <n v="0.25697295147175814"/>
  </r>
  <r>
    <s v="2025-05-21"/>
    <x v="3"/>
    <x v="0"/>
    <x v="1"/>
    <x v="1"/>
    <s v="Monitor"/>
    <x v="1"/>
    <n v="1"/>
    <n v="360"/>
    <n v="17621"/>
    <n v="67.11"/>
    <n v="0.18641666666666667"/>
  </r>
  <r>
    <s v="2025-05-21"/>
    <x v="3"/>
    <x v="0"/>
    <x v="1"/>
    <x v="4"/>
    <s v="Desk Chair"/>
    <x v="0"/>
    <n v="18"/>
    <n v="24174"/>
    <n v="12475"/>
    <n v="5785.62"/>
    <n v="0.23933234053114916"/>
  </r>
  <r>
    <s v="2025-05-13"/>
    <x v="3"/>
    <x v="0"/>
    <x v="0"/>
    <x v="1"/>
    <s v="Printer"/>
    <x v="2"/>
    <n v="20"/>
    <n v="18540"/>
    <n v="13444"/>
    <n v="5273.15"/>
    <n v="0.28442017259978425"/>
  </r>
  <r>
    <s v="2025-09-07"/>
    <x v="6"/>
    <x v="0"/>
    <x v="1"/>
    <x v="0"/>
    <s v="Monitor"/>
    <x v="1"/>
    <n v="18"/>
    <n v="15948"/>
    <n v="7175"/>
    <n v="2444.84"/>
    <n v="0.1533007273639328"/>
  </r>
  <r>
    <s v="2025-07-18"/>
    <x v="0"/>
    <x v="0"/>
    <x v="2"/>
    <x v="1"/>
    <s v="Desk Chair"/>
    <x v="0"/>
    <n v="10"/>
    <n v="1910"/>
    <n v="19905"/>
    <n v="428.1"/>
    <n v="0.22413612565445026"/>
  </r>
  <r>
    <s v="2025-09-26"/>
    <x v="6"/>
    <x v="0"/>
    <x v="0"/>
    <x v="3"/>
    <s v="Desk Chair"/>
    <x v="0"/>
    <n v="19"/>
    <n v="27683"/>
    <n v="6443"/>
    <n v="5882.85"/>
    <n v="0.21250767619116426"/>
  </r>
  <r>
    <s v="2025-05-20"/>
    <x v="3"/>
    <x v="0"/>
    <x v="2"/>
    <x v="0"/>
    <s v="Phone"/>
    <x v="1"/>
    <n v="18"/>
    <n v="3132"/>
    <n v="10600"/>
    <n v="568.27"/>
    <n v="0.18143997445721582"/>
  </r>
  <r>
    <s v="2025-03-20"/>
    <x v="7"/>
    <x v="0"/>
    <x v="3"/>
    <x v="4"/>
    <s v="Desk Chair"/>
    <x v="0"/>
    <n v="17"/>
    <n v="5066"/>
    <n v="8613"/>
    <n v="513.82000000000005"/>
    <n v="0.1014251875246743"/>
  </r>
  <r>
    <s v="2025-08-12"/>
    <x v="1"/>
    <x v="0"/>
    <x v="0"/>
    <x v="4"/>
    <s v="Laptop"/>
    <x v="1"/>
    <n v="5"/>
    <n v="2665"/>
    <n v="9450"/>
    <n v="271.58999999999997"/>
    <n v="0.10190994371482176"/>
  </r>
  <r>
    <s v="2025-06-11"/>
    <x v="4"/>
    <x v="0"/>
    <x v="1"/>
    <x v="0"/>
    <s v="Monitor"/>
    <x v="1"/>
    <n v="7"/>
    <n v="6713"/>
    <n v="11091"/>
    <n v="1478.2"/>
    <n v="0.22019961269179206"/>
  </r>
  <r>
    <s v="2025-03-13"/>
    <x v="7"/>
    <x v="0"/>
    <x v="2"/>
    <x v="3"/>
    <s v="Monitor"/>
    <x v="1"/>
    <n v="3"/>
    <n v="483"/>
    <n v="6511"/>
    <n v="108.89"/>
    <n v="0.22544513457556936"/>
  </r>
  <r>
    <s v="2025-04-03"/>
    <x v="9"/>
    <x v="0"/>
    <x v="3"/>
    <x v="4"/>
    <s v="Desk Chair"/>
    <x v="0"/>
    <n v="8"/>
    <n v="8368"/>
    <n v="8800"/>
    <n v="1379.84"/>
    <n v="0.16489483747609943"/>
  </r>
  <r>
    <s v="2025-02-10"/>
    <x v="11"/>
    <x v="0"/>
    <x v="0"/>
    <x v="2"/>
    <s v="Laptop"/>
    <x v="1"/>
    <n v="1"/>
    <n v="1492"/>
    <n v="6889"/>
    <n v="288.11"/>
    <n v="0.19310321715817697"/>
  </r>
  <r>
    <s v="2025-05-13"/>
    <x v="3"/>
    <x v="0"/>
    <x v="0"/>
    <x v="1"/>
    <s v="Tablet"/>
    <x v="1"/>
    <n v="7"/>
    <n v="2562"/>
    <n v="19606"/>
    <n v="728.02"/>
    <n v="0.28416081186572989"/>
  </r>
  <r>
    <s v="2025-12-16"/>
    <x v="8"/>
    <x v="0"/>
    <x v="1"/>
    <x v="2"/>
    <s v="Phone"/>
    <x v="1"/>
    <n v="17"/>
    <n v="15011"/>
    <n v="19482"/>
    <n v="2557.9499999999998"/>
    <n v="0.17040503630670839"/>
  </r>
  <r>
    <s v="2025-05-02"/>
    <x v="3"/>
    <x v="0"/>
    <x v="1"/>
    <x v="3"/>
    <s v="Desk Chair"/>
    <x v="0"/>
    <n v="18"/>
    <n v="3582"/>
    <n v="18654"/>
    <n v="574.63"/>
    <n v="0.1604215522054718"/>
  </r>
  <r>
    <s v="2025-07-07"/>
    <x v="0"/>
    <x v="0"/>
    <x v="1"/>
    <x v="0"/>
    <s v="Laptop"/>
    <x v="1"/>
    <n v="4"/>
    <n v="776"/>
    <n v="17259"/>
    <n v="98.95"/>
    <n v="0.12751288659793814"/>
  </r>
  <r>
    <s v="2025-02-24"/>
    <x v="11"/>
    <x v="0"/>
    <x v="0"/>
    <x v="0"/>
    <s v="Desk Chair"/>
    <x v="0"/>
    <n v="17"/>
    <n v="12257"/>
    <n v="9552"/>
    <n v="2767.78"/>
    <n v="0.22581218895325122"/>
  </r>
  <r>
    <s v="2025-02-07"/>
    <x v="11"/>
    <x v="0"/>
    <x v="0"/>
    <x v="2"/>
    <s v="Printer"/>
    <x v="2"/>
    <n v="2"/>
    <n v="2672"/>
    <n v="10208"/>
    <n v="598.80999999999995"/>
    <n v="0.22410553892215568"/>
  </r>
  <r>
    <s v="2025-09-01"/>
    <x v="6"/>
    <x v="0"/>
    <x v="1"/>
    <x v="2"/>
    <s v="Phone"/>
    <x v="1"/>
    <n v="6"/>
    <n v="4422"/>
    <n v="18418"/>
    <n v="496.25"/>
    <n v="0.11222297602894618"/>
  </r>
  <r>
    <s v="2025-03-02"/>
    <x v="7"/>
    <x v="0"/>
    <x v="1"/>
    <x v="3"/>
    <s v="Laptop"/>
    <x v="1"/>
    <n v="5"/>
    <n v="3605"/>
    <n v="10567"/>
    <n v="504.85"/>
    <n v="0.14004160887656034"/>
  </r>
  <r>
    <s v="2025-12-20"/>
    <x v="8"/>
    <x v="0"/>
    <x v="0"/>
    <x v="1"/>
    <s v="Printer"/>
    <x v="2"/>
    <n v="20"/>
    <n v="20020"/>
    <n v="9606"/>
    <n v="2649.32"/>
    <n v="0.13233366633366633"/>
  </r>
  <r>
    <s v="2025-03-31"/>
    <x v="7"/>
    <x v="0"/>
    <x v="3"/>
    <x v="3"/>
    <s v="Printer"/>
    <x v="2"/>
    <n v="10"/>
    <n v="1770"/>
    <n v="18390"/>
    <n v="283.07"/>
    <n v="0.15992655367231637"/>
  </r>
  <r>
    <s v="2025-01-09"/>
    <x v="5"/>
    <x v="0"/>
    <x v="0"/>
    <x v="3"/>
    <s v="Printer"/>
    <x v="2"/>
    <n v="17"/>
    <n v="22712"/>
    <n v="17270"/>
    <n v="6777.3"/>
    <n v="0.29840172595984504"/>
  </r>
  <r>
    <s v="2025-09-22"/>
    <x v="6"/>
    <x v="0"/>
    <x v="1"/>
    <x v="4"/>
    <s v="Tablet"/>
    <x v="1"/>
    <n v="11"/>
    <n v="14784"/>
    <n v="12061"/>
    <n v="1610.02"/>
    <n v="0.10890286796536797"/>
  </r>
  <r>
    <s v="2025-06-24"/>
    <x v="4"/>
    <x v="0"/>
    <x v="0"/>
    <x v="4"/>
    <s v="Monitor"/>
    <x v="1"/>
    <n v="6"/>
    <n v="6576"/>
    <n v="17099"/>
    <n v="749.23"/>
    <n v="0.11393400243309003"/>
  </r>
  <r>
    <s v="2025-04-14"/>
    <x v="9"/>
    <x v="0"/>
    <x v="3"/>
    <x v="1"/>
    <s v="Phone"/>
    <x v="1"/>
    <n v="17"/>
    <n v="17833"/>
    <n v="14670"/>
    <n v="2034.61"/>
    <n v="0.11409241294229798"/>
  </r>
  <r>
    <s v="2025-11-04"/>
    <x v="2"/>
    <x v="0"/>
    <x v="3"/>
    <x v="1"/>
    <s v="Monitor"/>
    <x v="1"/>
    <n v="19"/>
    <n v="17043"/>
    <n v="9496"/>
    <n v="4227.0600000000004"/>
    <n v="0.24802323534588983"/>
  </r>
  <r>
    <s v="2025-03-27"/>
    <x v="7"/>
    <x v="0"/>
    <x v="1"/>
    <x v="3"/>
    <s v="Printer"/>
    <x v="2"/>
    <n v="6"/>
    <n v="1746"/>
    <n v="11890"/>
    <n v="516.85"/>
    <n v="0.29601947308132875"/>
  </r>
  <r>
    <s v="2025-12-26"/>
    <x v="8"/>
    <x v="0"/>
    <x v="3"/>
    <x v="3"/>
    <s v="Phone"/>
    <x v="1"/>
    <n v="17"/>
    <n v="8449"/>
    <n v="13239"/>
    <n v="1590.13"/>
    <n v="0.18820333767309741"/>
  </r>
  <r>
    <s v="2025-11-13"/>
    <x v="2"/>
    <x v="0"/>
    <x v="3"/>
    <x v="1"/>
    <s v="Laptop"/>
    <x v="1"/>
    <n v="8"/>
    <n v="3496"/>
    <n v="13775"/>
    <n v="849.45"/>
    <n v="0.24297768878718537"/>
  </r>
  <r>
    <s v="2025-09-25"/>
    <x v="6"/>
    <x v="0"/>
    <x v="1"/>
    <x v="1"/>
    <s v="Desk Chair"/>
    <x v="0"/>
    <n v="1"/>
    <n v="766"/>
    <n v="5837"/>
    <n v="224.76"/>
    <n v="0.29342036553524803"/>
  </r>
  <r>
    <s v="2025-04-28"/>
    <x v="9"/>
    <x v="0"/>
    <x v="1"/>
    <x v="2"/>
    <s v="Phone"/>
    <x v="1"/>
    <n v="8"/>
    <n v="8496"/>
    <n v="7120"/>
    <n v="2119.75"/>
    <n v="0.24949976459510359"/>
  </r>
  <r>
    <s v="2025-06-15"/>
    <x v="4"/>
    <x v="0"/>
    <x v="0"/>
    <x v="0"/>
    <s v="Printer"/>
    <x v="2"/>
    <n v="7"/>
    <n v="4620"/>
    <n v="5421"/>
    <n v="1151.0999999999999"/>
    <n v="0.24915584415584413"/>
  </r>
  <r>
    <s v="2025-06-25"/>
    <x v="4"/>
    <x v="0"/>
    <x v="3"/>
    <x v="1"/>
    <s v="Tablet"/>
    <x v="1"/>
    <n v="7"/>
    <n v="2317"/>
    <n v="18103"/>
    <n v="274.3"/>
    <n v="0.11838584376348728"/>
  </r>
  <r>
    <s v="2025-04-12"/>
    <x v="9"/>
    <x v="0"/>
    <x v="0"/>
    <x v="2"/>
    <s v="Printer"/>
    <x v="2"/>
    <n v="17"/>
    <n v="11407"/>
    <n v="19528"/>
    <n v="2227.38"/>
    <n v="0.19526431138774439"/>
  </r>
  <r>
    <s v="2025-04-20"/>
    <x v="9"/>
    <x v="0"/>
    <x v="3"/>
    <x v="2"/>
    <s v="Desk Chair"/>
    <x v="0"/>
    <n v="15"/>
    <n v="7005"/>
    <n v="7160"/>
    <n v="1280.02"/>
    <n v="0.18272947894361169"/>
  </r>
  <r>
    <s v="2025-11-27"/>
    <x v="2"/>
    <x v="0"/>
    <x v="3"/>
    <x v="1"/>
    <s v="Desk Chair"/>
    <x v="0"/>
    <n v="19"/>
    <n v="28196"/>
    <n v="8207"/>
    <n v="2876.2"/>
    <n v="0.10200737693289828"/>
  </r>
  <r>
    <s v="2025-12-26"/>
    <x v="8"/>
    <x v="0"/>
    <x v="0"/>
    <x v="3"/>
    <s v="Laptop"/>
    <x v="1"/>
    <n v="3"/>
    <n v="1146"/>
    <n v="12895"/>
    <n v="233.9"/>
    <n v="0.20410122164048866"/>
  </r>
  <r>
    <s v="2025-04-01"/>
    <x v="9"/>
    <x v="0"/>
    <x v="2"/>
    <x v="1"/>
    <s v="Monitor"/>
    <x v="1"/>
    <n v="18"/>
    <n v="11106"/>
    <n v="8115"/>
    <n v="1790.9"/>
    <n v="0.16125517738159553"/>
  </r>
  <r>
    <s v="2025-07-15"/>
    <x v="0"/>
    <x v="0"/>
    <x v="3"/>
    <x v="1"/>
    <s v="Laptop"/>
    <x v="1"/>
    <n v="9"/>
    <n v="1179"/>
    <n v="8648"/>
    <n v="221.44"/>
    <n v="0.18782018659881256"/>
  </r>
  <r>
    <s v="2025-10-12"/>
    <x v="10"/>
    <x v="0"/>
    <x v="0"/>
    <x v="0"/>
    <s v="Desk Chair"/>
    <x v="0"/>
    <n v="14"/>
    <n v="11172"/>
    <n v="18791"/>
    <n v="2219.11"/>
    <n v="0.19863139992839243"/>
  </r>
  <r>
    <s v="2025-05-18"/>
    <x v="3"/>
    <x v="0"/>
    <x v="0"/>
    <x v="1"/>
    <s v="Laptop"/>
    <x v="1"/>
    <n v="15"/>
    <n v="13410"/>
    <n v="19007"/>
    <n v="3911.84"/>
    <n v="0.29171066368381804"/>
  </r>
  <r>
    <s v="2025-09-11"/>
    <x v="6"/>
    <x v="0"/>
    <x v="2"/>
    <x v="1"/>
    <s v="Laptop"/>
    <x v="1"/>
    <n v="12"/>
    <n v="17688"/>
    <n v="5043"/>
    <n v="4646.0200000000004"/>
    <n v="0.26266508367254637"/>
  </r>
  <r>
    <s v="2025-05-13"/>
    <x v="3"/>
    <x v="0"/>
    <x v="1"/>
    <x v="3"/>
    <s v="Tablet"/>
    <x v="1"/>
    <n v="11"/>
    <n v="2629"/>
    <n v="19090"/>
    <n v="629.62"/>
    <n v="0.23949030049448461"/>
  </r>
  <r>
    <s v="2025-01-26"/>
    <x v="5"/>
    <x v="0"/>
    <x v="0"/>
    <x v="1"/>
    <s v="Phone"/>
    <x v="1"/>
    <n v="6"/>
    <n v="7380"/>
    <n v="12072"/>
    <n v="769.34"/>
    <n v="0.10424661246612467"/>
  </r>
  <r>
    <s v="2025-06-26"/>
    <x v="4"/>
    <x v="0"/>
    <x v="1"/>
    <x v="3"/>
    <s v="Monitor"/>
    <x v="1"/>
    <n v="7"/>
    <n v="5390"/>
    <n v="12399"/>
    <n v="789.12"/>
    <n v="0.14640445269016697"/>
  </r>
  <r>
    <s v="2025-04-30"/>
    <x v="9"/>
    <x v="0"/>
    <x v="1"/>
    <x v="1"/>
    <s v="Tablet"/>
    <x v="1"/>
    <n v="19"/>
    <n v="16093"/>
    <n v="15985"/>
    <n v="3693.63"/>
    <n v="0.2295178027713913"/>
  </r>
  <r>
    <s v="2025-11-02"/>
    <x v="2"/>
    <x v="0"/>
    <x v="2"/>
    <x v="2"/>
    <s v="Desk Chair"/>
    <x v="0"/>
    <n v="8"/>
    <n v="4952"/>
    <n v="7069"/>
    <n v="802.28"/>
    <n v="0.16201130856219709"/>
  </r>
  <r>
    <s v="2025-02-14"/>
    <x v="11"/>
    <x v="0"/>
    <x v="2"/>
    <x v="1"/>
    <s v="Desk Chair"/>
    <x v="0"/>
    <n v="1"/>
    <n v="870"/>
    <n v="19562"/>
    <n v="260.37"/>
    <n v="0.2992758620689655"/>
  </r>
  <r>
    <s v="2025-08-22"/>
    <x v="1"/>
    <x v="0"/>
    <x v="0"/>
    <x v="1"/>
    <s v="Tablet"/>
    <x v="1"/>
    <n v="4"/>
    <n v="4116"/>
    <n v="18957"/>
    <n v="1087.43"/>
    <n v="0.26419582118561713"/>
  </r>
  <r>
    <s v="2025-07-30"/>
    <x v="0"/>
    <x v="0"/>
    <x v="2"/>
    <x v="3"/>
    <s v="Tablet"/>
    <x v="1"/>
    <n v="4"/>
    <n v="860"/>
    <n v="5468"/>
    <n v="113.54"/>
    <n v="0.13202325581395349"/>
  </r>
  <r>
    <s v="2025-04-22"/>
    <x v="9"/>
    <x v="0"/>
    <x v="0"/>
    <x v="4"/>
    <s v="Laptop"/>
    <x v="1"/>
    <n v="7"/>
    <n v="7420"/>
    <n v="10318"/>
    <n v="1110.3900000000001"/>
    <n v="0.14964824797843668"/>
  </r>
  <r>
    <s v="2025-10-13"/>
    <x v="10"/>
    <x v="0"/>
    <x v="2"/>
    <x v="3"/>
    <s v="Tablet"/>
    <x v="1"/>
    <n v="20"/>
    <n v="27460"/>
    <n v="12310"/>
    <n v="5726.36"/>
    <n v="0.20853459577567371"/>
  </r>
  <r>
    <s v="2025-04-24"/>
    <x v="9"/>
    <x v="0"/>
    <x v="0"/>
    <x v="1"/>
    <s v="Laptop"/>
    <x v="1"/>
    <n v="10"/>
    <n v="10520"/>
    <n v="7615"/>
    <n v="2763.27"/>
    <n v="0.26266825095057034"/>
  </r>
  <r>
    <s v="2025-10-25"/>
    <x v="10"/>
    <x v="0"/>
    <x v="0"/>
    <x v="2"/>
    <s v="Laptop"/>
    <x v="1"/>
    <n v="3"/>
    <n v="1581"/>
    <n v="6054"/>
    <n v="409.54"/>
    <n v="0.25903858317520556"/>
  </r>
  <r>
    <s v="2025-08-03"/>
    <x v="1"/>
    <x v="0"/>
    <x v="3"/>
    <x v="4"/>
    <s v="Desk Chair"/>
    <x v="0"/>
    <n v="16"/>
    <n v="5440"/>
    <n v="10174"/>
    <n v="1005.92"/>
    <n v="0.18491176470588236"/>
  </r>
  <r>
    <s v="2025-01-13"/>
    <x v="5"/>
    <x v="0"/>
    <x v="3"/>
    <x v="3"/>
    <s v="Desk Chair"/>
    <x v="0"/>
    <n v="18"/>
    <n v="5724"/>
    <n v="16442"/>
    <n v="900.93"/>
    <n v="0.15739517819706497"/>
  </r>
  <r>
    <s v="2025-07-09"/>
    <x v="0"/>
    <x v="0"/>
    <x v="0"/>
    <x v="0"/>
    <s v="Printer"/>
    <x v="2"/>
    <n v="11"/>
    <n v="13332"/>
    <n v="10900"/>
    <n v="2597.5500000000002"/>
    <n v="0.19483573357335734"/>
  </r>
  <r>
    <s v="2025-03-16"/>
    <x v="7"/>
    <x v="0"/>
    <x v="1"/>
    <x v="0"/>
    <s v="Desk Chair"/>
    <x v="0"/>
    <n v="19"/>
    <n v="20368"/>
    <n v="8606"/>
    <n v="5382.03"/>
    <n v="0.2642394933228594"/>
  </r>
  <r>
    <s v="2025-05-16"/>
    <x v="3"/>
    <x v="0"/>
    <x v="2"/>
    <x v="3"/>
    <s v="Monitor"/>
    <x v="1"/>
    <n v="20"/>
    <n v="20600"/>
    <n v="17615"/>
    <n v="5203.1400000000003"/>
    <n v="0.25257961165048548"/>
  </r>
  <r>
    <s v="2025-09-14"/>
    <x v="6"/>
    <x v="0"/>
    <x v="2"/>
    <x v="1"/>
    <s v="Tablet"/>
    <x v="1"/>
    <n v="7"/>
    <n v="9800"/>
    <n v="16189"/>
    <n v="2875.33"/>
    <n v="0.29340102040816324"/>
  </r>
  <r>
    <s v="2025-08-07"/>
    <x v="1"/>
    <x v="0"/>
    <x v="2"/>
    <x v="0"/>
    <s v="Laptop"/>
    <x v="1"/>
    <n v="1"/>
    <n v="146"/>
    <n v="8661"/>
    <n v="38.28"/>
    <n v="0.2621917808219178"/>
  </r>
  <r>
    <s v="2025-12-25"/>
    <x v="8"/>
    <x v="0"/>
    <x v="0"/>
    <x v="4"/>
    <s v="Tablet"/>
    <x v="1"/>
    <n v="11"/>
    <n v="2629"/>
    <n v="8742"/>
    <n v="432.96"/>
    <n v="0.16468619246861924"/>
  </r>
  <r>
    <s v="2025-12-22"/>
    <x v="8"/>
    <x v="0"/>
    <x v="3"/>
    <x v="3"/>
    <s v="Phone"/>
    <x v="1"/>
    <n v="2"/>
    <n v="1246"/>
    <n v="19651"/>
    <n v="175.45"/>
    <n v="0.14081059390048153"/>
  </r>
  <r>
    <s v="2025-03-19"/>
    <x v="7"/>
    <x v="0"/>
    <x v="0"/>
    <x v="3"/>
    <s v="Tablet"/>
    <x v="1"/>
    <n v="8"/>
    <n v="8952"/>
    <n v="19958"/>
    <n v="1586.36"/>
    <n v="0.17720732797140304"/>
  </r>
  <r>
    <s v="2025-11-24"/>
    <x v="2"/>
    <x v="0"/>
    <x v="0"/>
    <x v="1"/>
    <s v="Printer"/>
    <x v="2"/>
    <n v="6"/>
    <n v="3414"/>
    <n v="14118"/>
    <n v="815.94"/>
    <n v="0.23899824253075572"/>
  </r>
  <r>
    <s v="2025-05-12"/>
    <x v="3"/>
    <x v="0"/>
    <x v="0"/>
    <x v="1"/>
    <s v="Printer"/>
    <x v="2"/>
    <n v="11"/>
    <n v="5863"/>
    <n v="8217"/>
    <n v="1065.18"/>
    <n v="0.18167832167832168"/>
  </r>
  <r>
    <s v="2025-01-30"/>
    <x v="5"/>
    <x v="0"/>
    <x v="3"/>
    <x v="3"/>
    <s v="Laptop"/>
    <x v="1"/>
    <n v="18"/>
    <n v="22356"/>
    <n v="8203"/>
    <n v="2758.04"/>
    <n v="0.12336911791018071"/>
  </r>
  <r>
    <s v="2025-09-03"/>
    <x v="6"/>
    <x v="0"/>
    <x v="0"/>
    <x v="4"/>
    <s v="Printer"/>
    <x v="2"/>
    <n v="18"/>
    <n v="21834"/>
    <n v="18157"/>
    <n v="4097.38"/>
    <n v="0.18766052944948247"/>
  </r>
  <r>
    <s v="2025-11-21"/>
    <x v="2"/>
    <x v="0"/>
    <x v="2"/>
    <x v="1"/>
    <s v="Tablet"/>
    <x v="1"/>
    <n v="4"/>
    <n v="5292"/>
    <n v="8153"/>
    <n v="1064.71"/>
    <n v="0.20119236583522299"/>
  </r>
  <r>
    <s v="2025-09-30"/>
    <x v="6"/>
    <x v="0"/>
    <x v="2"/>
    <x v="4"/>
    <s v="Printer"/>
    <x v="2"/>
    <n v="10"/>
    <n v="4620"/>
    <n v="17571"/>
    <n v="704.82"/>
    <n v="0.15255844155844156"/>
  </r>
  <r>
    <s v="2025-03-16"/>
    <x v="7"/>
    <x v="0"/>
    <x v="0"/>
    <x v="2"/>
    <s v="Monitor"/>
    <x v="1"/>
    <n v="11"/>
    <n v="7931"/>
    <n v="18920"/>
    <n v="1040.74"/>
    <n v="0.13122430967091162"/>
  </r>
  <r>
    <s v="2025-01-26"/>
    <x v="5"/>
    <x v="0"/>
    <x v="3"/>
    <x v="4"/>
    <s v="Monitor"/>
    <x v="1"/>
    <n v="17"/>
    <n v="15555"/>
    <n v="8705"/>
    <n v="3566.43"/>
    <n v="0.22927868852459016"/>
  </r>
  <r>
    <s v="2025-12-13"/>
    <x v="8"/>
    <x v="0"/>
    <x v="2"/>
    <x v="0"/>
    <s v="Phone"/>
    <x v="1"/>
    <n v="8"/>
    <n v="4888"/>
    <n v="11722"/>
    <n v="1002.07"/>
    <n v="0.20500613747954174"/>
  </r>
  <r>
    <s v="2025-07-09"/>
    <x v="0"/>
    <x v="0"/>
    <x v="3"/>
    <x v="4"/>
    <s v="Laptop"/>
    <x v="1"/>
    <n v="3"/>
    <n v="2004"/>
    <n v="18489"/>
    <n v="404.89"/>
    <n v="0.20204091816367264"/>
  </r>
  <r>
    <s v="2025-12-08"/>
    <x v="8"/>
    <x v="0"/>
    <x v="0"/>
    <x v="0"/>
    <s v="Monitor"/>
    <x v="1"/>
    <n v="3"/>
    <n v="4083"/>
    <n v="9034"/>
    <n v="1068.83"/>
    <n v="0.26177565515552287"/>
  </r>
  <r>
    <s v="2025-08-10"/>
    <x v="1"/>
    <x v="0"/>
    <x v="2"/>
    <x v="3"/>
    <s v="Tablet"/>
    <x v="1"/>
    <n v="9"/>
    <n v="5823"/>
    <n v="17744"/>
    <n v="605.82000000000005"/>
    <n v="0.10403915507470377"/>
  </r>
  <r>
    <s v="2025-10-31"/>
    <x v="10"/>
    <x v="0"/>
    <x v="0"/>
    <x v="4"/>
    <s v="Printer"/>
    <x v="2"/>
    <n v="11"/>
    <n v="14564"/>
    <n v="9269"/>
    <n v="2508.56"/>
    <n v="0.17224388904147211"/>
  </r>
  <r>
    <s v="2025-07-10"/>
    <x v="0"/>
    <x v="0"/>
    <x v="2"/>
    <x v="3"/>
    <s v="Phone"/>
    <x v="1"/>
    <n v="3"/>
    <n v="2892"/>
    <n v="18160"/>
    <n v="411.01"/>
    <n v="0.14211964038727523"/>
  </r>
  <r>
    <s v="2025-06-11"/>
    <x v="4"/>
    <x v="0"/>
    <x v="1"/>
    <x v="1"/>
    <s v="Phone"/>
    <x v="1"/>
    <n v="8"/>
    <n v="9616"/>
    <n v="7514"/>
    <n v="2462.2199999999998"/>
    <n v="0.25605449251247919"/>
  </r>
  <r>
    <s v="2025-08-17"/>
    <x v="1"/>
    <x v="0"/>
    <x v="2"/>
    <x v="2"/>
    <s v="Phone"/>
    <x v="1"/>
    <n v="8"/>
    <n v="7344"/>
    <n v="5275"/>
    <n v="2116.75"/>
    <n v="0.28822848583877997"/>
  </r>
  <r>
    <s v="2025-08-25"/>
    <x v="1"/>
    <x v="0"/>
    <x v="3"/>
    <x v="0"/>
    <s v="Phone"/>
    <x v="1"/>
    <n v="7"/>
    <n v="7378"/>
    <n v="13341"/>
    <n v="778.89"/>
    <n v="0.10556925996204933"/>
  </r>
  <r>
    <s v="2025-01-17"/>
    <x v="5"/>
    <x v="0"/>
    <x v="1"/>
    <x v="2"/>
    <s v="Tablet"/>
    <x v="1"/>
    <n v="12"/>
    <n v="1416"/>
    <n v="15696"/>
    <n v="402.69"/>
    <n v="0.28438559322033896"/>
  </r>
  <r>
    <s v="2025-01-28"/>
    <x v="5"/>
    <x v="0"/>
    <x v="3"/>
    <x v="3"/>
    <s v="Printer"/>
    <x v="2"/>
    <n v="3"/>
    <n v="2049"/>
    <n v="19498"/>
    <n v="376.01"/>
    <n v="0.1835090287945339"/>
  </r>
  <r>
    <s v="2025-07-19"/>
    <x v="0"/>
    <x v="0"/>
    <x v="1"/>
    <x v="2"/>
    <s v="Phone"/>
    <x v="1"/>
    <n v="11"/>
    <n v="14168"/>
    <n v="15234"/>
    <n v="1434.7"/>
    <n v="0.10126341050254094"/>
  </r>
  <r>
    <s v="2025-09-11"/>
    <x v="6"/>
    <x v="0"/>
    <x v="3"/>
    <x v="2"/>
    <s v="Desk Chair"/>
    <x v="0"/>
    <n v="16"/>
    <n v="6896"/>
    <n v="14603"/>
    <n v="1766.4"/>
    <n v="0.25614849187935035"/>
  </r>
  <r>
    <s v="2025-12-07"/>
    <x v="8"/>
    <x v="0"/>
    <x v="2"/>
    <x v="2"/>
    <s v="Tablet"/>
    <x v="1"/>
    <n v="6"/>
    <n v="2160"/>
    <n v="8417"/>
    <n v="256.18"/>
    <n v="0.11860185185185186"/>
  </r>
  <r>
    <s v="2025-08-02"/>
    <x v="1"/>
    <x v="0"/>
    <x v="2"/>
    <x v="2"/>
    <s v="Monitor"/>
    <x v="1"/>
    <n v="12"/>
    <n v="7068"/>
    <n v="13412"/>
    <n v="1313.25"/>
    <n v="0.18580220713073006"/>
  </r>
  <r>
    <s v="2025-03-07"/>
    <x v="7"/>
    <x v="0"/>
    <x v="2"/>
    <x v="1"/>
    <s v="Tablet"/>
    <x v="1"/>
    <n v="2"/>
    <n v="2488"/>
    <n v="13885"/>
    <n v="256.52"/>
    <n v="0.10310289389067523"/>
  </r>
  <r>
    <s v="2025-04-18"/>
    <x v="9"/>
    <x v="0"/>
    <x v="1"/>
    <x v="1"/>
    <s v="Phone"/>
    <x v="1"/>
    <n v="4"/>
    <n v="2004"/>
    <n v="15345"/>
    <n v="442.14"/>
    <n v="0.22062874251497006"/>
  </r>
  <r>
    <s v="2025-06-17"/>
    <x v="4"/>
    <x v="0"/>
    <x v="3"/>
    <x v="3"/>
    <s v="Laptop"/>
    <x v="1"/>
    <n v="17"/>
    <n v="7939"/>
    <n v="5031"/>
    <n v="1666.39"/>
    <n v="0.20989923164126464"/>
  </r>
  <r>
    <s v="2025-11-29"/>
    <x v="2"/>
    <x v="0"/>
    <x v="1"/>
    <x v="4"/>
    <s v="Desk Chair"/>
    <x v="0"/>
    <n v="4"/>
    <n v="4216"/>
    <n v="16850"/>
    <n v="1178.96"/>
    <n v="0.27963946869070211"/>
  </r>
  <r>
    <s v="2025-12-23"/>
    <x v="8"/>
    <x v="0"/>
    <x v="3"/>
    <x v="1"/>
    <s v="Phone"/>
    <x v="1"/>
    <n v="11"/>
    <n v="11726"/>
    <n v="11921"/>
    <n v="3080.94"/>
    <n v="0.26274432884188981"/>
  </r>
  <r>
    <s v="2025-11-01"/>
    <x v="2"/>
    <x v="0"/>
    <x v="0"/>
    <x v="3"/>
    <s v="Desk Chair"/>
    <x v="0"/>
    <n v="2"/>
    <n v="970"/>
    <n v="5017"/>
    <n v="158.28"/>
    <n v="0.16317525773195876"/>
  </r>
  <r>
    <s v="2025-08-16"/>
    <x v="1"/>
    <x v="0"/>
    <x v="1"/>
    <x v="2"/>
    <s v="Printer"/>
    <x v="2"/>
    <n v="5"/>
    <n v="960"/>
    <n v="7497"/>
    <n v="228.64"/>
    <n v="0.23816666666666667"/>
  </r>
  <r>
    <s v="2025-10-09"/>
    <x v="10"/>
    <x v="0"/>
    <x v="3"/>
    <x v="4"/>
    <s v="Monitor"/>
    <x v="1"/>
    <n v="2"/>
    <n v="306"/>
    <n v="13525"/>
    <n v="67.98"/>
    <n v="0.22215686274509805"/>
  </r>
  <r>
    <s v="2025-08-22"/>
    <x v="1"/>
    <x v="0"/>
    <x v="0"/>
    <x v="2"/>
    <s v="Phone"/>
    <x v="1"/>
    <n v="20"/>
    <n v="14420"/>
    <n v="17648"/>
    <n v="3132.73"/>
    <n v="0.217248959778086"/>
  </r>
  <r>
    <s v="2025-11-04"/>
    <x v="2"/>
    <x v="0"/>
    <x v="1"/>
    <x v="4"/>
    <s v="Desk Chair"/>
    <x v="0"/>
    <n v="19"/>
    <n v="2432"/>
    <n v="17452"/>
    <n v="450.51"/>
    <n v="0.18524259868421053"/>
  </r>
  <r>
    <s v="2025-02-26"/>
    <x v="11"/>
    <x v="0"/>
    <x v="0"/>
    <x v="3"/>
    <s v="Desk Chair"/>
    <x v="0"/>
    <n v="9"/>
    <n v="10485"/>
    <n v="14863"/>
    <n v="2955.43"/>
    <n v="0.28187219837863614"/>
  </r>
  <r>
    <s v="2025-12-24"/>
    <x v="8"/>
    <x v="0"/>
    <x v="2"/>
    <x v="4"/>
    <s v="Phone"/>
    <x v="1"/>
    <n v="20"/>
    <n v="21520"/>
    <n v="19121"/>
    <n v="5105.3100000000004"/>
    <n v="0.23723559479553905"/>
  </r>
  <r>
    <s v="2025-10-23"/>
    <x v="10"/>
    <x v="0"/>
    <x v="0"/>
    <x v="2"/>
    <s v="Desk Chair"/>
    <x v="0"/>
    <n v="19"/>
    <n v="21204"/>
    <n v="7946"/>
    <n v="2737.3"/>
    <n v="0.12909356725146201"/>
  </r>
  <r>
    <s v="2025-01-03"/>
    <x v="5"/>
    <x v="0"/>
    <x v="3"/>
    <x v="1"/>
    <s v="Desk Chair"/>
    <x v="0"/>
    <n v="1"/>
    <n v="212"/>
    <n v="17377"/>
    <n v="26.74"/>
    <n v="0.12613207547169811"/>
  </r>
  <r>
    <s v="2025-12-29"/>
    <x v="8"/>
    <x v="0"/>
    <x v="3"/>
    <x v="3"/>
    <s v="Laptop"/>
    <x v="1"/>
    <n v="8"/>
    <n v="7280"/>
    <n v="10737"/>
    <n v="1238.4100000000001"/>
    <n v="0.17011126373626376"/>
  </r>
  <r>
    <s v="2025-09-06"/>
    <x v="6"/>
    <x v="0"/>
    <x v="0"/>
    <x v="0"/>
    <s v="Monitor"/>
    <x v="1"/>
    <n v="5"/>
    <n v="1235"/>
    <n v="17066"/>
    <n v="333.69"/>
    <n v="0.27019433198380566"/>
  </r>
  <r>
    <s v="2025-05-13"/>
    <x v="3"/>
    <x v="0"/>
    <x v="2"/>
    <x v="0"/>
    <s v="Desk Chair"/>
    <x v="0"/>
    <n v="9"/>
    <n v="999"/>
    <n v="16132"/>
    <n v="202.91"/>
    <n v="0.20311311311311311"/>
  </r>
  <r>
    <s v="2025-09-07"/>
    <x v="6"/>
    <x v="0"/>
    <x v="3"/>
    <x v="1"/>
    <s v="Tablet"/>
    <x v="1"/>
    <n v="15"/>
    <n v="21855"/>
    <n v="9046"/>
    <n v="3458.83"/>
    <n v="0.15826264012811714"/>
  </r>
  <r>
    <s v="2025-02-13"/>
    <x v="11"/>
    <x v="0"/>
    <x v="3"/>
    <x v="4"/>
    <s v="Monitor"/>
    <x v="1"/>
    <n v="17"/>
    <n v="14365"/>
    <n v="18293"/>
    <n v="3893.7"/>
    <n v="0.2710546467107553"/>
  </r>
  <r>
    <s v="2025-02-04"/>
    <x v="11"/>
    <x v="0"/>
    <x v="3"/>
    <x v="2"/>
    <s v="Tablet"/>
    <x v="1"/>
    <n v="17"/>
    <n v="12495"/>
    <n v="12565"/>
    <n v="1712.75"/>
    <n v="0.13707482993197279"/>
  </r>
  <r>
    <s v="2025-02-28"/>
    <x v="11"/>
    <x v="0"/>
    <x v="1"/>
    <x v="0"/>
    <s v="Printer"/>
    <x v="2"/>
    <n v="5"/>
    <n v="2730"/>
    <n v="10073"/>
    <n v="549.28"/>
    <n v="0.2012014652014652"/>
  </r>
  <r>
    <s v="2025-11-16"/>
    <x v="2"/>
    <x v="0"/>
    <x v="0"/>
    <x v="0"/>
    <s v="Desk Chair"/>
    <x v="0"/>
    <n v="10"/>
    <n v="1280"/>
    <n v="10759"/>
    <n v="236.65"/>
    <n v="0.18488281249999999"/>
  </r>
  <r>
    <s v="2025-01-17"/>
    <x v="5"/>
    <x v="0"/>
    <x v="3"/>
    <x v="3"/>
    <s v="Printer"/>
    <x v="2"/>
    <n v="12"/>
    <n v="8280"/>
    <n v="18584"/>
    <n v="1203.82"/>
    <n v="0.14538888888888887"/>
  </r>
  <r>
    <s v="2025-05-09"/>
    <x v="3"/>
    <x v="0"/>
    <x v="0"/>
    <x v="2"/>
    <s v="Printer"/>
    <x v="2"/>
    <n v="2"/>
    <n v="2246"/>
    <n v="6458"/>
    <n v="546.16999999999996"/>
    <n v="0.24317453250222615"/>
  </r>
  <r>
    <s v="2025-10-19"/>
    <x v="10"/>
    <x v="0"/>
    <x v="2"/>
    <x v="3"/>
    <s v="Printer"/>
    <x v="2"/>
    <n v="15"/>
    <n v="14145"/>
    <n v="19247"/>
    <n v="2437.62"/>
    <n v="0.1723308589607635"/>
  </r>
  <r>
    <s v="2025-01-16"/>
    <x v="5"/>
    <x v="0"/>
    <x v="0"/>
    <x v="3"/>
    <s v="Laptop"/>
    <x v="1"/>
    <n v="6"/>
    <n v="6588"/>
    <n v="11768"/>
    <n v="1152.04"/>
    <n v="0.17486945962355799"/>
  </r>
  <r>
    <s v="2025-04-20"/>
    <x v="9"/>
    <x v="0"/>
    <x v="1"/>
    <x v="4"/>
    <s v="Phone"/>
    <x v="1"/>
    <n v="18"/>
    <n v="2970"/>
    <n v="16694"/>
    <n v="354.96"/>
    <n v="0.1195151515151515"/>
  </r>
  <r>
    <s v="2025-03-25"/>
    <x v="7"/>
    <x v="0"/>
    <x v="3"/>
    <x v="1"/>
    <s v="Desk Chair"/>
    <x v="0"/>
    <n v="2"/>
    <n v="1898"/>
    <n v="12672"/>
    <n v="548.82000000000005"/>
    <n v="0.28915700737618549"/>
  </r>
  <r>
    <s v="2025-05-22"/>
    <x v="3"/>
    <x v="0"/>
    <x v="1"/>
    <x v="3"/>
    <s v="Tablet"/>
    <x v="1"/>
    <n v="8"/>
    <n v="5696"/>
    <n v="6348"/>
    <n v="1478.41"/>
    <n v="0.25955231741573037"/>
  </r>
  <r>
    <s v="2025-12-03"/>
    <x v="8"/>
    <x v="0"/>
    <x v="0"/>
    <x v="3"/>
    <s v="Printer"/>
    <x v="2"/>
    <n v="8"/>
    <n v="5808"/>
    <n v="5121"/>
    <n v="1648.36"/>
    <n v="0.28380853994490357"/>
  </r>
  <r>
    <s v="2025-05-02"/>
    <x v="3"/>
    <x v="0"/>
    <x v="2"/>
    <x v="2"/>
    <s v="Laptop"/>
    <x v="1"/>
    <n v="10"/>
    <n v="3170"/>
    <n v="19411"/>
    <n v="807.76"/>
    <n v="0.25481388012618295"/>
  </r>
  <r>
    <s v="2025-08-19"/>
    <x v="1"/>
    <x v="0"/>
    <x v="2"/>
    <x v="2"/>
    <s v="Desk Chair"/>
    <x v="0"/>
    <n v="8"/>
    <n v="5152"/>
    <n v="19172"/>
    <n v="1020.29"/>
    <n v="0.19803765527950309"/>
  </r>
  <r>
    <s v="2025-12-30"/>
    <x v="8"/>
    <x v="0"/>
    <x v="1"/>
    <x v="4"/>
    <s v="Monitor"/>
    <x v="1"/>
    <n v="1"/>
    <n v="785"/>
    <n v="15783"/>
    <n v="154.58000000000001"/>
    <n v="0.19691719745222933"/>
  </r>
  <r>
    <s v="2025-03-25"/>
    <x v="7"/>
    <x v="0"/>
    <x v="1"/>
    <x v="2"/>
    <s v="Desk Chair"/>
    <x v="0"/>
    <n v="17"/>
    <n v="22083"/>
    <n v="15823"/>
    <n v="5828.82"/>
    <n v="0.2639505501969841"/>
  </r>
  <r>
    <s v="2025-02-14"/>
    <x v="11"/>
    <x v="0"/>
    <x v="1"/>
    <x v="4"/>
    <s v="Printer"/>
    <x v="2"/>
    <n v="10"/>
    <n v="2950"/>
    <n v="16649"/>
    <n v="864.82"/>
    <n v="0.29315932203389833"/>
  </r>
  <r>
    <s v="2025-02-06"/>
    <x v="11"/>
    <x v="0"/>
    <x v="1"/>
    <x v="4"/>
    <s v="Phone"/>
    <x v="1"/>
    <n v="7"/>
    <n v="9527"/>
    <n v="12444"/>
    <n v="1693.73"/>
    <n v="0.1777820929988454"/>
  </r>
  <r>
    <s v="2025-08-16"/>
    <x v="1"/>
    <x v="0"/>
    <x v="3"/>
    <x v="3"/>
    <s v="Tablet"/>
    <x v="1"/>
    <n v="12"/>
    <n v="3384"/>
    <n v="8505"/>
    <n v="550.72"/>
    <n v="0.16274231678486997"/>
  </r>
  <r>
    <s v="2025-05-29"/>
    <x v="3"/>
    <x v="0"/>
    <x v="0"/>
    <x v="0"/>
    <s v="Desk Chair"/>
    <x v="0"/>
    <n v="8"/>
    <n v="2712"/>
    <n v="19376"/>
    <n v="373.89"/>
    <n v="0.13786504424778762"/>
  </r>
  <r>
    <s v="2025-10-30"/>
    <x v="10"/>
    <x v="0"/>
    <x v="0"/>
    <x v="1"/>
    <s v="Monitor"/>
    <x v="1"/>
    <n v="5"/>
    <n v="4570"/>
    <n v="16048"/>
    <n v="896.27"/>
    <n v="0.19612035010940918"/>
  </r>
  <r>
    <s v="2025-10-30"/>
    <x v="10"/>
    <x v="0"/>
    <x v="1"/>
    <x v="3"/>
    <s v="Monitor"/>
    <x v="1"/>
    <n v="1"/>
    <n v="1135"/>
    <n v="19930"/>
    <n v="188.77"/>
    <n v="0.16631718061674008"/>
  </r>
  <r>
    <s v="2025-07-05"/>
    <x v="0"/>
    <x v="0"/>
    <x v="3"/>
    <x v="4"/>
    <s v="Laptop"/>
    <x v="1"/>
    <n v="15"/>
    <n v="5265"/>
    <n v="5184"/>
    <n v="1410.13"/>
    <n v="0.2678309591642925"/>
  </r>
  <r>
    <s v="2025-10-31"/>
    <x v="10"/>
    <x v="0"/>
    <x v="2"/>
    <x v="3"/>
    <s v="Tablet"/>
    <x v="1"/>
    <n v="14"/>
    <n v="3416"/>
    <n v="14265"/>
    <n v="431.01"/>
    <n v="0.126173887587822"/>
  </r>
  <r>
    <s v="2025-05-22"/>
    <x v="3"/>
    <x v="0"/>
    <x v="0"/>
    <x v="2"/>
    <s v="Laptop"/>
    <x v="1"/>
    <n v="20"/>
    <n v="22880"/>
    <n v="11473"/>
    <n v="6751.62"/>
    <n v="0.29508828671328668"/>
  </r>
  <r>
    <s v="2025-10-19"/>
    <x v="10"/>
    <x v="0"/>
    <x v="1"/>
    <x v="1"/>
    <s v="Printer"/>
    <x v="2"/>
    <n v="19"/>
    <n v="20235"/>
    <n v="14775"/>
    <n v="3689.07"/>
    <n v="0.18231134173461824"/>
  </r>
  <r>
    <s v="2025-03-01"/>
    <x v="7"/>
    <x v="0"/>
    <x v="2"/>
    <x v="3"/>
    <s v="Phone"/>
    <x v="1"/>
    <n v="1"/>
    <n v="103"/>
    <n v="6778"/>
    <n v="21.17"/>
    <n v="0.20553398058252428"/>
  </r>
  <r>
    <s v="2025-07-05"/>
    <x v="0"/>
    <x v="0"/>
    <x v="0"/>
    <x v="2"/>
    <s v="Tablet"/>
    <x v="1"/>
    <n v="15"/>
    <n v="17940"/>
    <n v="5069"/>
    <n v="3719.32"/>
    <n v="0.20731995540691195"/>
  </r>
  <r>
    <s v="2025-09-15"/>
    <x v="6"/>
    <x v="0"/>
    <x v="3"/>
    <x v="4"/>
    <s v="Laptop"/>
    <x v="1"/>
    <n v="13"/>
    <n v="10452"/>
    <n v="10476"/>
    <n v="2071.85"/>
    <n v="0.19822522005357826"/>
  </r>
  <r>
    <s v="2025-05-15"/>
    <x v="3"/>
    <x v="0"/>
    <x v="0"/>
    <x v="4"/>
    <s v="Desk Chair"/>
    <x v="0"/>
    <n v="13"/>
    <n v="13793"/>
    <n v="6383"/>
    <n v="3897.09"/>
    <n v="0.28254114405858044"/>
  </r>
  <r>
    <s v="2025-02-02"/>
    <x v="11"/>
    <x v="0"/>
    <x v="1"/>
    <x v="2"/>
    <s v="Phone"/>
    <x v="1"/>
    <n v="20"/>
    <n v="8320"/>
    <n v="5406"/>
    <n v="1714.43"/>
    <n v="0.20606129807692308"/>
  </r>
  <r>
    <s v="2025-12-01"/>
    <x v="8"/>
    <x v="0"/>
    <x v="2"/>
    <x v="2"/>
    <s v="Desk Chair"/>
    <x v="0"/>
    <n v="17"/>
    <n v="25143"/>
    <n v="13082"/>
    <n v="3464.1"/>
    <n v="0.13777592172771747"/>
  </r>
  <r>
    <s v="2025-08-21"/>
    <x v="1"/>
    <x v="0"/>
    <x v="3"/>
    <x v="0"/>
    <s v="Laptop"/>
    <x v="1"/>
    <n v="15"/>
    <n v="9840"/>
    <n v="13650"/>
    <n v="2016.08"/>
    <n v="0.20488617886178861"/>
  </r>
  <r>
    <s v="2025-09-07"/>
    <x v="6"/>
    <x v="0"/>
    <x v="2"/>
    <x v="1"/>
    <s v="Phone"/>
    <x v="1"/>
    <n v="7"/>
    <n v="5775"/>
    <n v="8762"/>
    <n v="1475.83"/>
    <n v="0.25555497835497837"/>
  </r>
  <r>
    <s v="2025-06-26"/>
    <x v="4"/>
    <x v="0"/>
    <x v="1"/>
    <x v="0"/>
    <s v="Printer"/>
    <x v="2"/>
    <n v="14"/>
    <n v="12474"/>
    <n v="8587"/>
    <n v="3699.37"/>
    <n v="0.29656645823312489"/>
  </r>
  <r>
    <s v="2025-07-22"/>
    <x v="0"/>
    <x v="0"/>
    <x v="0"/>
    <x v="3"/>
    <s v="Laptop"/>
    <x v="1"/>
    <n v="14"/>
    <n v="5866"/>
    <n v="16319"/>
    <n v="775.08"/>
    <n v="0.1321309239686328"/>
  </r>
  <r>
    <s v="2025-08-21"/>
    <x v="1"/>
    <x v="0"/>
    <x v="1"/>
    <x v="4"/>
    <s v="Printer"/>
    <x v="2"/>
    <n v="18"/>
    <n v="3906"/>
    <n v="6708"/>
    <n v="501.66"/>
    <n v="0.12843317972350232"/>
  </r>
  <r>
    <s v="2025-11-18"/>
    <x v="2"/>
    <x v="0"/>
    <x v="3"/>
    <x v="2"/>
    <s v="Tablet"/>
    <x v="1"/>
    <n v="3"/>
    <n v="1794"/>
    <n v="19597"/>
    <n v="496.07"/>
    <n v="0.27651616499442588"/>
  </r>
  <r>
    <s v="2025-10-30"/>
    <x v="10"/>
    <x v="0"/>
    <x v="3"/>
    <x v="1"/>
    <s v="Phone"/>
    <x v="1"/>
    <n v="13"/>
    <n v="18070"/>
    <n v="11802"/>
    <n v="2909.79"/>
    <n v="0.16102877697841728"/>
  </r>
  <r>
    <s v="2025-11-30"/>
    <x v="2"/>
    <x v="0"/>
    <x v="1"/>
    <x v="1"/>
    <s v="Desk Chair"/>
    <x v="0"/>
    <n v="4"/>
    <n v="4996"/>
    <n v="10206"/>
    <n v="1451.04"/>
    <n v="0.29044035228182546"/>
  </r>
  <r>
    <s v="2025-02-09"/>
    <x v="11"/>
    <x v="0"/>
    <x v="0"/>
    <x v="0"/>
    <s v="Desk Chair"/>
    <x v="0"/>
    <n v="8"/>
    <n v="4600"/>
    <n v="13876"/>
    <n v="567.49"/>
    <n v="0.12336739130434783"/>
  </r>
  <r>
    <s v="2025-11-25"/>
    <x v="2"/>
    <x v="0"/>
    <x v="2"/>
    <x v="1"/>
    <s v="Phone"/>
    <x v="1"/>
    <n v="4"/>
    <n v="2272"/>
    <n v="18990"/>
    <n v="530.59"/>
    <n v="0.2335343309859155"/>
  </r>
  <r>
    <s v="2025-09-04"/>
    <x v="6"/>
    <x v="0"/>
    <x v="3"/>
    <x v="2"/>
    <s v="Printer"/>
    <x v="2"/>
    <n v="3"/>
    <n v="3411"/>
    <n v="5940"/>
    <n v="532.55999999999995"/>
    <n v="0.15613016710642039"/>
  </r>
  <r>
    <s v="2025-04-09"/>
    <x v="9"/>
    <x v="0"/>
    <x v="0"/>
    <x v="2"/>
    <s v="Monitor"/>
    <x v="1"/>
    <n v="3"/>
    <n v="2169"/>
    <n v="15050"/>
    <n v="244.07"/>
    <n v="0.11252650991240203"/>
  </r>
  <r>
    <s v="2025-09-27"/>
    <x v="6"/>
    <x v="0"/>
    <x v="3"/>
    <x v="2"/>
    <s v="Monitor"/>
    <x v="1"/>
    <n v="13"/>
    <n v="17706"/>
    <n v="15338"/>
    <n v="4259.1499999999996"/>
    <n v="0.24054840167174968"/>
  </r>
  <r>
    <s v="2025-11-10"/>
    <x v="2"/>
    <x v="0"/>
    <x v="3"/>
    <x v="0"/>
    <s v="Tablet"/>
    <x v="1"/>
    <n v="16"/>
    <n v="4128"/>
    <n v="15393"/>
    <n v="1227.51"/>
    <n v="0.29736191860465117"/>
  </r>
  <r>
    <s v="2025-12-15"/>
    <x v="8"/>
    <x v="0"/>
    <x v="0"/>
    <x v="0"/>
    <s v="Monitor"/>
    <x v="1"/>
    <n v="5"/>
    <n v="6280"/>
    <n v="7695"/>
    <n v="1673.25"/>
    <n v="0.26644108280254775"/>
  </r>
  <r>
    <s v="2025-06-22"/>
    <x v="4"/>
    <x v="0"/>
    <x v="2"/>
    <x v="0"/>
    <s v="Phone"/>
    <x v="1"/>
    <n v="14"/>
    <n v="9030"/>
    <n v="8532"/>
    <n v="1461.03"/>
    <n v="0.16179734219269104"/>
  </r>
  <r>
    <s v="2025-07-02"/>
    <x v="0"/>
    <x v="0"/>
    <x v="3"/>
    <x v="1"/>
    <s v="Desk Chair"/>
    <x v="0"/>
    <n v="7"/>
    <n v="3297"/>
    <n v="11307"/>
    <n v="723.97"/>
    <n v="0.21958447073096757"/>
  </r>
  <r>
    <s v="2025-03-08"/>
    <x v="7"/>
    <x v="0"/>
    <x v="0"/>
    <x v="4"/>
    <s v="Tablet"/>
    <x v="1"/>
    <n v="4"/>
    <n v="1880"/>
    <n v="10640"/>
    <n v="301.2"/>
    <n v="0.1602127659574468"/>
  </r>
  <r>
    <s v="2025-12-05"/>
    <x v="8"/>
    <x v="0"/>
    <x v="2"/>
    <x v="1"/>
    <s v="Monitor"/>
    <x v="1"/>
    <n v="14"/>
    <n v="8456"/>
    <n v="5412"/>
    <n v="2063.4499999999998"/>
    <n v="0.24402199621570481"/>
  </r>
  <r>
    <s v="2025-11-11"/>
    <x v="2"/>
    <x v="0"/>
    <x v="0"/>
    <x v="0"/>
    <s v="Laptop"/>
    <x v="1"/>
    <n v="15"/>
    <n v="10515"/>
    <n v="16469"/>
    <n v="2479.54"/>
    <n v="0.23580979553019496"/>
  </r>
  <r>
    <s v="2025-11-03"/>
    <x v="2"/>
    <x v="0"/>
    <x v="2"/>
    <x v="0"/>
    <s v="Printer"/>
    <x v="2"/>
    <n v="15"/>
    <n v="18180"/>
    <n v="15499"/>
    <n v="3880.36"/>
    <n v="0.21344114411441145"/>
  </r>
  <r>
    <s v="2025-12-04"/>
    <x v="8"/>
    <x v="0"/>
    <x v="0"/>
    <x v="0"/>
    <s v="Laptop"/>
    <x v="1"/>
    <n v="18"/>
    <n v="2646"/>
    <n v="12762"/>
    <n v="595.39"/>
    <n v="0.22501511715797429"/>
  </r>
  <r>
    <s v="2025-11-16"/>
    <x v="2"/>
    <x v="0"/>
    <x v="1"/>
    <x v="2"/>
    <s v="Monitor"/>
    <x v="1"/>
    <n v="9"/>
    <n v="3474"/>
    <n v="16405"/>
    <n v="933.56"/>
    <n v="0.26872769142199193"/>
  </r>
  <r>
    <s v="2025-08-25"/>
    <x v="1"/>
    <x v="0"/>
    <x v="3"/>
    <x v="0"/>
    <s v="Phone"/>
    <x v="1"/>
    <n v="11"/>
    <n v="2002"/>
    <n v="7011"/>
    <n v="431.1"/>
    <n v="0.21533466533466536"/>
  </r>
  <r>
    <s v="2025-05-26"/>
    <x v="3"/>
    <x v="0"/>
    <x v="2"/>
    <x v="2"/>
    <s v="Phone"/>
    <x v="1"/>
    <n v="4"/>
    <n v="5712"/>
    <n v="9552"/>
    <n v="997.75"/>
    <n v="0.17467612044817926"/>
  </r>
  <r>
    <s v="2025-09-28"/>
    <x v="6"/>
    <x v="0"/>
    <x v="2"/>
    <x v="2"/>
    <s v="Desk Chair"/>
    <x v="0"/>
    <n v="8"/>
    <n v="11944"/>
    <n v="6291"/>
    <n v="1233.55"/>
    <n v="0.10327779638312123"/>
  </r>
  <r>
    <s v="2025-11-06"/>
    <x v="2"/>
    <x v="0"/>
    <x v="2"/>
    <x v="0"/>
    <s v="Phone"/>
    <x v="1"/>
    <n v="13"/>
    <n v="6032"/>
    <n v="9406"/>
    <n v="634.91"/>
    <n v="0.10525696286472148"/>
  </r>
  <r>
    <s v="2025-09-04"/>
    <x v="6"/>
    <x v="0"/>
    <x v="1"/>
    <x v="1"/>
    <s v="Tablet"/>
    <x v="1"/>
    <n v="11"/>
    <n v="13937"/>
    <n v="7612"/>
    <n v="2265.89"/>
    <n v="0.16258089976322018"/>
  </r>
  <r>
    <s v="2025-11-08"/>
    <x v="2"/>
    <x v="0"/>
    <x v="1"/>
    <x v="0"/>
    <s v="Phone"/>
    <x v="1"/>
    <n v="9"/>
    <n v="2070"/>
    <n v="16175"/>
    <n v="323.27999999999997"/>
    <n v="0.15617391304347825"/>
  </r>
  <r>
    <s v="2025-08-15"/>
    <x v="1"/>
    <x v="0"/>
    <x v="1"/>
    <x v="4"/>
    <s v="Phone"/>
    <x v="1"/>
    <n v="3"/>
    <n v="3897"/>
    <n v="7129"/>
    <n v="503.51"/>
    <n v="0.12920451629458557"/>
  </r>
  <r>
    <s v="2025-04-15"/>
    <x v="9"/>
    <x v="0"/>
    <x v="3"/>
    <x v="4"/>
    <s v="Desk Chair"/>
    <x v="0"/>
    <n v="1"/>
    <n v="425"/>
    <n v="11561"/>
    <n v="70.260000000000005"/>
    <n v="0.16531764705882354"/>
  </r>
  <r>
    <s v="2025-12-06"/>
    <x v="8"/>
    <x v="0"/>
    <x v="3"/>
    <x v="1"/>
    <s v="Laptop"/>
    <x v="1"/>
    <n v="1"/>
    <n v="1200"/>
    <n v="15423"/>
    <n v="124.09"/>
    <n v="0.10340833333333334"/>
  </r>
  <r>
    <s v="2025-10-23"/>
    <x v="10"/>
    <x v="0"/>
    <x v="2"/>
    <x v="3"/>
    <s v="Desk Chair"/>
    <x v="0"/>
    <n v="12"/>
    <n v="12264"/>
    <n v="7279"/>
    <n v="2816.09"/>
    <n v="0.22962247227658189"/>
  </r>
  <r>
    <s v="2025-10-12"/>
    <x v="10"/>
    <x v="0"/>
    <x v="2"/>
    <x v="2"/>
    <s v="Desk Chair"/>
    <x v="0"/>
    <n v="17"/>
    <n v="9996"/>
    <n v="7252"/>
    <n v="1107.19"/>
    <n v="0.11076330532212886"/>
  </r>
  <r>
    <s v="2025-10-22"/>
    <x v="10"/>
    <x v="0"/>
    <x v="3"/>
    <x v="2"/>
    <s v="Monitor"/>
    <x v="1"/>
    <n v="2"/>
    <n v="1440"/>
    <n v="11207"/>
    <n v="386.28"/>
    <n v="0.26824999999999999"/>
  </r>
  <r>
    <s v="2025-01-27"/>
    <x v="5"/>
    <x v="0"/>
    <x v="3"/>
    <x v="0"/>
    <s v="Tablet"/>
    <x v="1"/>
    <n v="3"/>
    <n v="3570"/>
    <n v="7277"/>
    <n v="402.4"/>
    <n v="0.11271708683473389"/>
  </r>
  <r>
    <s v="2025-03-21"/>
    <x v="7"/>
    <x v="0"/>
    <x v="3"/>
    <x v="1"/>
    <s v="Tablet"/>
    <x v="1"/>
    <n v="16"/>
    <n v="14576"/>
    <n v="18563"/>
    <n v="1669.74"/>
    <n v="0.11455406147091109"/>
  </r>
  <r>
    <s v="2025-01-09"/>
    <x v="5"/>
    <x v="0"/>
    <x v="1"/>
    <x v="3"/>
    <s v="Printer"/>
    <x v="2"/>
    <n v="19"/>
    <n v="17917"/>
    <n v="9943"/>
    <n v="3523.63"/>
    <n v="0.19666406206396161"/>
  </r>
  <r>
    <s v="2025-08-04"/>
    <x v="1"/>
    <x v="0"/>
    <x v="0"/>
    <x v="3"/>
    <s v="Printer"/>
    <x v="2"/>
    <n v="16"/>
    <n v="22800"/>
    <n v="17013"/>
    <n v="2470.7800000000002"/>
    <n v="0.10836754385964913"/>
  </r>
  <r>
    <s v="2025-12-31"/>
    <x v="8"/>
    <x v="0"/>
    <x v="2"/>
    <x v="0"/>
    <s v="Monitor"/>
    <x v="1"/>
    <n v="18"/>
    <n v="17748"/>
    <n v="15647"/>
    <n v="2814.14"/>
    <n v="0.15856096461573135"/>
  </r>
  <r>
    <s v="2025-06-23"/>
    <x v="4"/>
    <x v="0"/>
    <x v="3"/>
    <x v="4"/>
    <s v="Laptop"/>
    <x v="1"/>
    <n v="16"/>
    <n v="13712"/>
    <n v="10622"/>
    <n v="1918"/>
    <n v="0.13987747957992999"/>
  </r>
  <r>
    <s v="2025-01-19"/>
    <x v="5"/>
    <x v="0"/>
    <x v="0"/>
    <x v="1"/>
    <s v="Printer"/>
    <x v="2"/>
    <n v="10"/>
    <n v="13540"/>
    <n v="8121"/>
    <n v="1433.47"/>
    <n v="0.10586927621861153"/>
  </r>
  <r>
    <s v="2025-10-22"/>
    <x v="10"/>
    <x v="0"/>
    <x v="3"/>
    <x v="4"/>
    <s v="Desk Chair"/>
    <x v="0"/>
    <n v="4"/>
    <n v="2124"/>
    <n v="10614"/>
    <n v="551.98"/>
    <n v="0.25987758945386064"/>
  </r>
  <r>
    <s v="2025-11-15"/>
    <x v="2"/>
    <x v="0"/>
    <x v="0"/>
    <x v="3"/>
    <s v="Monitor"/>
    <x v="1"/>
    <n v="11"/>
    <n v="1595"/>
    <n v="17256"/>
    <n v="251.18"/>
    <n v="0.15747962382445141"/>
  </r>
  <r>
    <s v="2025-11-19"/>
    <x v="2"/>
    <x v="0"/>
    <x v="2"/>
    <x v="0"/>
    <s v="Phone"/>
    <x v="1"/>
    <n v="9"/>
    <n v="2538"/>
    <n v="9331"/>
    <n v="569.15"/>
    <n v="0.22425137903861309"/>
  </r>
  <r>
    <s v="2025-07-07"/>
    <x v="0"/>
    <x v="0"/>
    <x v="2"/>
    <x v="1"/>
    <s v="Printer"/>
    <x v="2"/>
    <n v="13"/>
    <n v="16913"/>
    <n v="19191"/>
    <n v="3890.06"/>
    <n v="0.23000413882812037"/>
  </r>
  <r>
    <s v="2025-11-20"/>
    <x v="2"/>
    <x v="0"/>
    <x v="3"/>
    <x v="0"/>
    <s v="Monitor"/>
    <x v="1"/>
    <n v="16"/>
    <n v="10272"/>
    <n v="8087"/>
    <n v="2564.2399999999998"/>
    <n v="0.24963395638629282"/>
  </r>
  <r>
    <s v="2025-09-12"/>
    <x v="6"/>
    <x v="0"/>
    <x v="0"/>
    <x v="2"/>
    <s v="Monitor"/>
    <x v="1"/>
    <n v="1"/>
    <n v="1003"/>
    <n v="10078"/>
    <n v="119.42"/>
    <n v="0.11906281156530409"/>
  </r>
  <r>
    <s v="2025-06-25"/>
    <x v="4"/>
    <x v="0"/>
    <x v="0"/>
    <x v="1"/>
    <s v="Phone"/>
    <x v="1"/>
    <n v="11"/>
    <n v="5236"/>
    <n v="5766"/>
    <n v="1439.91"/>
    <n v="0.27500190985485107"/>
  </r>
  <r>
    <s v="2025-02-08"/>
    <x v="11"/>
    <x v="0"/>
    <x v="1"/>
    <x v="1"/>
    <s v="Desk Chair"/>
    <x v="0"/>
    <n v="4"/>
    <n v="5640"/>
    <n v="19804"/>
    <n v="760.79"/>
    <n v="0.1348918439716312"/>
  </r>
  <r>
    <s v="2025-09-22"/>
    <x v="6"/>
    <x v="0"/>
    <x v="3"/>
    <x v="4"/>
    <s v="Monitor"/>
    <x v="1"/>
    <n v="13"/>
    <n v="5720"/>
    <n v="10617"/>
    <n v="600.37"/>
    <n v="0.10495979020979021"/>
  </r>
  <r>
    <s v="2025-05-14"/>
    <x v="3"/>
    <x v="0"/>
    <x v="1"/>
    <x v="2"/>
    <s v="Printer"/>
    <x v="2"/>
    <n v="10"/>
    <n v="12490"/>
    <n v="14031"/>
    <n v="3172.77"/>
    <n v="0.25402481985588471"/>
  </r>
  <r>
    <s v="2025-08-16"/>
    <x v="1"/>
    <x v="0"/>
    <x v="1"/>
    <x v="4"/>
    <s v="Printer"/>
    <x v="2"/>
    <n v="1"/>
    <n v="798"/>
    <n v="14287"/>
    <n v="182.99"/>
    <n v="0.22931077694235591"/>
  </r>
  <r>
    <s v="2025-10-25"/>
    <x v="10"/>
    <x v="0"/>
    <x v="2"/>
    <x v="4"/>
    <s v="Laptop"/>
    <x v="1"/>
    <n v="1"/>
    <n v="398"/>
    <n v="6600"/>
    <n v="49.85"/>
    <n v="0.12525125628140704"/>
  </r>
  <r>
    <s v="2025-02-05"/>
    <x v="11"/>
    <x v="0"/>
    <x v="1"/>
    <x v="2"/>
    <s v="Printer"/>
    <x v="2"/>
    <n v="3"/>
    <n v="1215"/>
    <n v="14325"/>
    <n v="150.07"/>
    <n v="0.12351440329218107"/>
  </r>
  <r>
    <s v="2025-02-14"/>
    <x v="11"/>
    <x v="0"/>
    <x v="2"/>
    <x v="2"/>
    <s v="Laptop"/>
    <x v="1"/>
    <n v="5"/>
    <n v="3955"/>
    <n v="8048"/>
    <n v="928.8"/>
    <n v="0.23484197218710492"/>
  </r>
  <r>
    <s v="2025-09-28"/>
    <x v="6"/>
    <x v="0"/>
    <x v="0"/>
    <x v="2"/>
    <s v="Desk Chair"/>
    <x v="0"/>
    <n v="14"/>
    <n v="3682"/>
    <n v="16908"/>
    <n v="1013.5"/>
    <n v="0.27525801195002714"/>
  </r>
  <r>
    <s v="2025-08-28"/>
    <x v="1"/>
    <x v="0"/>
    <x v="2"/>
    <x v="0"/>
    <s v="Monitor"/>
    <x v="1"/>
    <n v="7"/>
    <n v="6545"/>
    <n v="7710"/>
    <n v="1130.17"/>
    <n v="0.17267685255920551"/>
  </r>
  <r>
    <s v="2025-10-28"/>
    <x v="10"/>
    <x v="0"/>
    <x v="2"/>
    <x v="2"/>
    <s v="Laptop"/>
    <x v="1"/>
    <n v="18"/>
    <n v="5076"/>
    <n v="19176"/>
    <n v="858.65"/>
    <n v="0.16915878644602048"/>
  </r>
  <r>
    <s v="2025-10-14"/>
    <x v="10"/>
    <x v="0"/>
    <x v="3"/>
    <x v="3"/>
    <s v="Monitor"/>
    <x v="1"/>
    <n v="4"/>
    <n v="2548"/>
    <n v="19231"/>
    <n v="460.75"/>
    <n v="0.18082810047095763"/>
  </r>
  <r>
    <s v="2025-10-13"/>
    <x v="10"/>
    <x v="0"/>
    <x v="3"/>
    <x v="2"/>
    <s v="Monitor"/>
    <x v="1"/>
    <n v="17"/>
    <n v="10999"/>
    <n v="16010"/>
    <n v="1974.15"/>
    <n v="0.179484498590781"/>
  </r>
  <r>
    <s v="2025-12-10"/>
    <x v="8"/>
    <x v="0"/>
    <x v="0"/>
    <x v="2"/>
    <s v="Desk Chair"/>
    <x v="0"/>
    <n v="19"/>
    <n v="27113"/>
    <n v="6498"/>
    <n v="7876.93"/>
    <n v="0.29052225869509091"/>
  </r>
  <r>
    <s v="2025-05-31"/>
    <x v="3"/>
    <x v="0"/>
    <x v="2"/>
    <x v="0"/>
    <s v="Phone"/>
    <x v="1"/>
    <n v="5"/>
    <n v="3510"/>
    <n v="5457"/>
    <n v="623.95000000000005"/>
    <n v="0.17776353276353277"/>
  </r>
  <r>
    <s v="2025-09-24"/>
    <x v="6"/>
    <x v="0"/>
    <x v="2"/>
    <x v="4"/>
    <s v="Desk Chair"/>
    <x v="0"/>
    <n v="9"/>
    <n v="10404"/>
    <n v="14706"/>
    <n v="2514.7399999999998"/>
    <n v="0.2417089580930411"/>
  </r>
  <r>
    <s v="2025-04-22"/>
    <x v="9"/>
    <x v="0"/>
    <x v="3"/>
    <x v="4"/>
    <s v="Printer"/>
    <x v="2"/>
    <n v="8"/>
    <n v="6640"/>
    <n v="16198"/>
    <n v="1298.19"/>
    <n v="0.19551054216867469"/>
  </r>
  <r>
    <s v="2025-06-06"/>
    <x v="4"/>
    <x v="0"/>
    <x v="1"/>
    <x v="2"/>
    <s v="Printer"/>
    <x v="2"/>
    <n v="20"/>
    <n v="7460"/>
    <n v="14208"/>
    <n v="2155.2800000000002"/>
    <n v="0.2889115281501341"/>
  </r>
  <r>
    <s v="2025-01-23"/>
    <x v="5"/>
    <x v="0"/>
    <x v="1"/>
    <x v="2"/>
    <s v="Printer"/>
    <x v="2"/>
    <n v="1"/>
    <n v="536"/>
    <n v="13085"/>
    <n v="152.11000000000001"/>
    <n v="0.28378731343283586"/>
  </r>
  <r>
    <s v="2025-09-17"/>
    <x v="6"/>
    <x v="0"/>
    <x v="1"/>
    <x v="3"/>
    <s v="Printer"/>
    <x v="2"/>
    <n v="10"/>
    <n v="4100"/>
    <n v="16927"/>
    <n v="1097.73"/>
    <n v="0.26773902439024388"/>
  </r>
  <r>
    <s v="2025-03-22"/>
    <x v="7"/>
    <x v="0"/>
    <x v="1"/>
    <x v="3"/>
    <s v="Laptop"/>
    <x v="1"/>
    <n v="16"/>
    <n v="2208"/>
    <n v="17512"/>
    <n v="389.76"/>
    <n v="0.17652173913043478"/>
  </r>
  <r>
    <s v="2025-08-10"/>
    <x v="1"/>
    <x v="0"/>
    <x v="1"/>
    <x v="0"/>
    <s v="Printer"/>
    <x v="2"/>
    <n v="20"/>
    <n v="3280"/>
    <n v="5260"/>
    <n v="871.63"/>
    <n v="0.26574085365853656"/>
  </r>
  <r>
    <s v="2025-03-02"/>
    <x v="7"/>
    <x v="0"/>
    <x v="1"/>
    <x v="3"/>
    <s v="Monitor"/>
    <x v="1"/>
    <n v="2"/>
    <n v="1142"/>
    <n v="17660"/>
    <n v="137.19999999999999"/>
    <n v="0.1201401050788091"/>
  </r>
  <r>
    <s v="2025-04-13"/>
    <x v="9"/>
    <x v="0"/>
    <x v="3"/>
    <x v="4"/>
    <s v="Laptop"/>
    <x v="1"/>
    <n v="3"/>
    <n v="402"/>
    <n v="5193"/>
    <n v="119.4"/>
    <n v="0.29701492537313434"/>
  </r>
  <r>
    <s v="2025-02-26"/>
    <x v="11"/>
    <x v="0"/>
    <x v="3"/>
    <x v="0"/>
    <s v="Laptop"/>
    <x v="1"/>
    <n v="1"/>
    <n v="1264"/>
    <n v="6479"/>
    <n v="169.75"/>
    <n v="0.13429588607594936"/>
  </r>
  <r>
    <s v="2025-08-26"/>
    <x v="1"/>
    <x v="0"/>
    <x v="1"/>
    <x v="2"/>
    <s v="Desk Chair"/>
    <x v="0"/>
    <n v="18"/>
    <n v="21366"/>
    <n v="9505"/>
    <n v="2205.25"/>
    <n v="0.10321304876907236"/>
  </r>
  <r>
    <s v="2025-10-28"/>
    <x v="10"/>
    <x v="0"/>
    <x v="2"/>
    <x v="4"/>
    <s v="Phone"/>
    <x v="1"/>
    <n v="16"/>
    <n v="13296"/>
    <n v="16095"/>
    <n v="3661.06"/>
    <n v="0.27535048134777379"/>
  </r>
  <r>
    <s v="2025-07-25"/>
    <x v="0"/>
    <x v="0"/>
    <x v="2"/>
    <x v="2"/>
    <s v="Laptop"/>
    <x v="1"/>
    <n v="16"/>
    <n v="7296"/>
    <n v="16293"/>
    <n v="1046.8800000000001"/>
    <n v="0.14348684210526316"/>
  </r>
  <r>
    <s v="2025-01-21"/>
    <x v="5"/>
    <x v="0"/>
    <x v="2"/>
    <x v="0"/>
    <s v="Laptop"/>
    <x v="1"/>
    <n v="15"/>
    <n v="9435"/>
    <n v="9958"/>
    <n v="2219.6"/>
    <n v="0.23525172231054584"/>
  </r>
  <r>
    <s v="2025-05-02"/>
    <x v="3"/>
    <x v="0"/>
    <x v="2"/>
    <x v="3"/>
    <s v="Phone"/>
    <x v="1"/>
    <n v="2"/>
    <n v="1860"/>
    <n v="13553"/>
    <n v="404.1"/>
    <n v="0.21725806451612906"/>
  </r>
  <r>
    <s v="2025-03-24"/>
    <x v="7"/>
    <x v="0"/>
    <x v="2"/>
    <x v="3"/>
    <s v="Printer"/>
    <x v="2"/>
    <n v="16"/>
    <n v="13952"/>
    <n v="18644"/>
    <n v="2009.21"/>
    <n v="0.14400874426605506"/>
  </r>
  <r>
    <s v="2025-09-08"/>
    <x v="6"/>
    <x v="0"/>
    <x v="1"/>
    <x v="4"/>
    <s v="Printer"/>
    <x v="2"/>
    <n v="12"/>
    <n v="9732"/>
    <n v="14760"/>
    <n v="1410.84"/>
    <n v="0.14496917385943278"/>
  </r>
  <r>
    <s v="2025-09-09"/>
    <x v="6"/>
    <x v="0"/>
    <x v="3"/>
    <x v="3"/>
    <s v="Phone"/>
    <x v="1"/>
    <n v="5"/>
    <n v="3800"/>
    <n v="19799"/>
    <n v="592.47"/>
    <n v="0.15591315789473684"/>
  </r>
  <r>
    <s v="2025-01-31"/>
    <x v="5"/>
    <x v="0"/>
    <x v="3"/>
    <x v="1"/>
    <s v="Monitor"/>
    <x v="1"/>
    <n v="14"/>
    <n v="1554"/>
    <n v="16442"/>
    <n v="174.26"/>
    <n v="0.11213642213642214"/>
  </r>
  <r>
    <s v="2025-01-31"/>
    <x v="5"/>
    <x v="0"/>
    <x v="1"/>
    <x v="2"/>
    <s v="Printer"/>
    <x v="2"/>
    <n v="15"/>
    <n v="22215"/>
    <n v="16203"/>
    <n v="6024.99"/>
    <n v="0.27121269412559079"/>
  </r>
  <r>
    <s v="2025-05-08"/>
    <x v="3"/>
    <x v="0"/>
    <x v="3"/>
    <x v="1"/>
    <s v="Laptop"/>
    <x v="1"/>
    <n v="19"/>
    <n v="19304"/>
    <n v="7449"/>
    <n v="5159.83"/>
    <n v="0.2672933070866142"/>
  </r>
  <r>
    <s v="2025-09-27"/>
    <x v="6"/>
    <x v="0"/>
    <x v="0"/>
    <x v="2"/>
    <s v="Tablet"/>
    <x v="1"/>
    <n v="18"/>
    <n v="11250"/>
    <n v="13117"/>
    <n v="2119.86"/>
    <n v="0.18843200000000002"/>
  </r>
  <r>
    <s v="2025-05-17"/>
    <x v="3"/>
    <x v="0"/>
    <x v="3"/>
    <x v="4"/>
    <s v="Monitor"/>
    <x v="1"/>
    <n v="15"/>
    <n v="21435"/>
    <n v="16117"/>
    <n v="4886.93"/>
    <n v="0.22798833683228367"/>
  </r>
  <r>
    <s v="2025-09-13"/>
    <x v="6"/>
    <x v="0"/>
    <x v="1"/>
    <x v="2"/>
    <s v="Tablet"/>
    <x v="1"/>
    <n v="12"/>
    <n v="16644"/>
    <n v="6406"/>
    <n v="4624.25"/>
    <n v="0.2778328526796443"/>
  </r>
  <r>
    <s v="2025-10-25"/>
    <x v="10"/>
    <x v="0"/>
    <x v="3"/>
    <x v="1"/>
    <s v="Monitor"/>
    <x v="1"/>
    <n v="18"/>
    <n v="19476"/>
    <n v="16375"/>
    <n v="3421.04"/>
    <n v="0.17565413842678168"/>
  </r>
  <r>
    <s v="2025-03-24"/>
    <x v="7"/>
    <x v="0"/>
    <x v="0"/>
    <x v="4"/>
    <s v="Phone"/>
    <x v="1"/>
    <n v="13"/>
    <n v="1404"/>
    <n v="8791"/>
    <n v="244.64"/>
    <n v="0.17424501424501423"/>
  </r>
  <r>
    <s v="2025-08-30"/>
    <x v="1"/>
    <x v="0"/>
    <x v="3"/>
    <x v="1"/>
    <s v="Monitor"/>
    <x v="1"/>
    <n v="18"/>
    <n v="2250"/>
    <n v="19744"/>
    <n v="658.19"/>
    <n v="0.29252888888888889"/>
  </r>
  <r>
    <s v="2025-03-20"/>
    <x v="7"/>
    <x v="0"/>
    <x v="3"/>
    <x v="3"/>
    <s v="Monitor"/>
    <x v="1"/>
    <n v="11"/>
    <n v="11671"/>
    <n v="12109"/>
    <n v="3034.66"/>
    <n v="0.26001713649216002"/>
  </r>
  <r>
    <s v="2025-05-24"/>
    <x v="3"/>
    <x v="0"/>
    <x v="1"/>
    <x v="1"/>
    <s v="Laptop"/>
    <x v="1"/>
    <n v="19"/>
    <n v="5966"/>
    <n v="17035"/>
    <n v="646.96"/>
    <n v="0.1084411666107945"/>
  </r>
  <r>
    <s v="2025-11-19"/>
    <x v="2"/>
    <x v="0"/>
    <x v="3"/>
    <x v="1"/>
    <s v="Phone"/>
    <x v="1"/>
    <n v="17"/>
    <n v="9911"/>
    <n v="10583"/>
    <n v="2323.0100000000002"/>
    <n v="0.23438704469781055"/>
  </r>
  <r>
    <s v="2025-05-23"/>
    <x v="3"/>
    <x v="0"/>
    <x v="3"/>
    <x v="3"/>
    <s v="Phone"/>
    <x v="1"/>
    <n v="5"/>
    <n v="2570"/>
    <n v="9775"/>
    <n v="681.75"/>
    <n v="0.26527237354085603"/>
  </r>
  <r>
    <s v="2025-12-25"/>
    <x v="8"/>
    <x v="0"/>
    <x v="3"/>
    <x v="4"/>
    <s v="Phone"/>
    <x v="1"/>
    <n v="6"/>
    <n v="5328"/>
    <n v="5472"/>
    <n v="1024.4100000000001"/>
    <n v="0.19226914414414417"/>
  </r>
  <r>
    <s v="2025-12-12"/>
    <x v="8"/>
    <x v="0"/>
    <x v="0"/>
    <x v="4"/>
    <s v="Phone"/>
    <x v="1"/>
    <n v="9"/>
    <n v="1332"/>
    <n v="9369"/>
    <n v="318.31"/>
    <n v="0.23897147147147146"/>
  </r>
  <r>
    <s v="2025-08-26"/>
    <x v="1"/>
    <x v="0"/>
    <x v="0"/>
    <x v="4"/>
    <s v="Phone"/>
    <x v="1"/>
    <n v="10"/>
    <n v="3270"/>
    <n v="10695"/>
    <n v="456.65"/>
    <n v="0.13964831804281344"/>
  </r>
  <r>
    <s v="2025-02-23"/>
    <x v="11"/>
    <x v="0"/>
    <x v="1"/>
    <x v="2"/>
    <s v="Desk Chair"/>
    <x v="0"/>
    <n v="2"/>
    <n v="1126"/>
    <n v="9819"/>
    <n v="119.35"/>
    <n v="0.10599467140319715"/>
  </r>
  <r>
    <s v="2025-03-08"/>
    <x v="7"/>
    <x v="0"/>
    <x v="1"/>
    <x v="3"/>
    <s v="Phone"/>
    <x v="1"/>
    <n v="13"/>
    <n v="9035"/>
    <n v="19024"/>
    <n v="2578.67"/>
    <n v="0.28540896513558384"/>
  </r>
  <r>
    <s v="2025-12-17"/>
    <x v="8"/>
    <x v="0"/>
    <x v="0"/>
    <x v="3"/>
    <s v="Printer"/>
    <x v="2"/>
    <n v="10"/>
    <n v="7410"/>
    <n v="12461"/>
    <n v="1166.18"/>
    <n v="0.15737921727395413"/>
  </r>
  <r>
    <s v="2025-04-17"/>
    <x v="9"/>
    <x v="0"/>
    <x v="2"/>
    <x v="3"/>
    <s v="Desk Chair"/>
    <x v="0"/>
    <n v="4"/>
    <n v="4076"/>
    <n v="16438"/>
    <n v="584.4"/>
    <n v="0.14337585868498529"/>
  </r>
  <r>
    <s v="2025-02-04"/>
    <x v="11"/>
    <x v="0"/>
    <x v="2"/>
    <x v="3"/>
    <s v="Laptop"/>
    <x v="1"/>
    <n v="19"/>
    <n v="14877"/>
    <n v="10721"/>
    <n v="2591.35"/>
    <n v="0.17418498353162598"/>
  </r>
  <r>
    <s v="2025-08-29"/>
    <x v="1"/>
    <x v="0"/>
    <x v="3"/>
    <x v="3"/>
    <s v="Printer"/>
    <x v="2"/>
    <n v="13"/>
    <n v="16133"/>
    <n v="17029"/>
    <n v="4391.95"/>
    <n v="0.27223393045310851"/>
  </r>
  <r>
    <s v="2025-03-25"/>
    <x v="7"/>
    <x v="0"/>
    <x v="1"/>
    <x v="2"/>
    <s v="Printer"/>
    <x v="2"/>
    <n v="2"/>
    <n v="1838"/>
    <n v="9771"/>
    <n v="366.88"/>
    <n v="0.19960826985854188"/>
  </r>
  <r>
    <s v="2025-09-06"/>
    <x v="6"/>
    <x v="0"/>
    <x v="1"/>
    <x v="4"/>
    <s v="Tablet"/>
    <x v="1"/>
    <n v="20"/>
    <n v="28600"/>
    <n v="17947"/>
    <n v="5314.6"/>
    <n v="0.18582517482517483"/>
  </r>
  <r>
    <s v="2025-02-18"/>
    <x v="11"/>
    <x v="0"/>
    <x v="3"/>
    <x v="0"/>
    <s v="Printer"/>
    <x v="2"/>
    <n v="17"/>
    <n v="10710"/>
    <n v="9911"/>
    <n v="1174.48"/>
    <n v="0.10966199813258637"/>
  </r>
  <r>
    <s v="2025-05-02"/>
    <x v="3"/>
    <x v="0"/>
    <x v="3"/>
    <x v="0"/>
    <s v="Printer"/>
    <x v="2"/>
    <n v="19"/>
    <n v="14174"/>
    <n v="17239"/>
    <n v="2599.37"/>
    <n v="0.18339000987724"/>
  </r>
  <r>
    <s v="2025-04-22"/>
    <x v="9"/>
    <x v="0"/>
    <x v="0"/>
    <x v="0"/>
    <s v="Monitor"/>
    <x v="1"/>
    <n v="11"/>
    <n v="11836"/>
    <n v="19724"/>
    <n v="2331.65"/>
    <n v="0.19699645150388645"/>
  </r>
  <r>
    <s v="2025-01-23"/>
    <x v="5"/>
    <x v="0"/>
    <x v="2"/>
    <x v="4"/>
    <s v="Phone"/>
    <x v="1"/>
    <n v="20"/>
    <n v="6060"/>
    <n v="18657"/>
    <n v="1262.02"/>
    <n v="0.20825412541254126"/>
  </r>
  <r>
    <s v="2025-10-18"/>
    <x v="10"/>
    <x v="0"/>
    <x v="1"/>
    <x v="4"/>
    <s v="Desk Chair"/>
    <x v="0"/>
    <n v="17"/>
    <n v="16218"/>
    <n v="6332"/>
    <n v="1842.48"/>
    <n v="0.11360710321864595"/>
  </r>
  <r>
    <s v="2025-12-15"/>
    <x v="8"/>
    <x v="0"/>
    <x v="1"/>
    <x v="2"/>
    <s v="Laptop"/>
    <x v="1"/>
    <n v="11"/>
    <n v="7953"/>
    <n v="8405"/>
    <n v="1310.44"/>
    <n v="0.16477304161951464"/>
  </r>
  <r>
    <s v="2025-11-06"/>
    <x v="2"/>
    <x v="0"/>
    <x v="0"/>
    <x v="4"/>
    <s v="Printer"/>
    <x v="2"/>
    <n v="4"/>
    <n v="3948"/>
    <n v="18851"/>
    <n v="549.03"/>
    <n v="0.13906534954407293"/>
  </r>
  <r>
    <s v="2025-03-05"/>
    <x v="7"/>
    <x v="0"/>
    <x v="2"/>
    <x v="3"/>
    <s v="Laptop"/>
    <x v="1"/>
    <n v="1"/>
    <n v="1357"/>
    <n v="9625"/>
    <n v="271"/>
    <n v="0.19970523212969787"/>
  </r>
  <r>
    <s v="2025-06-15"/>
    <x v="4"/>
    <x v="0"/>
    <x v="1"/>
    <x v="4"/>
    <s v="Monitor"/>
    <x v="1"/>
    <n v="11"/>
    <n v="4675"/>
    <n v="8100"/>
    <n v="1232.02"/>
    <n v="0.2635336898395722"/>
  </r>
  <r>
    <s v="2025-06-25"/>
    <x v="4"/>
    <x v="0"/>
    <x v="2"/>
    <x v="2"/>
    <s v="Tablet"/>
    <x v="1"/>
    <n v="16"/>
    <n v="4160"/>
    <n v="8205"/>
    <n v="549.29"/>
    <n v="0.13204086538461537"/>
  </r>
  <r>
    <s v="2025-04-22"/>
    <x v="9"/>
    <x v="0"/>
    <x v="0"/>
    <x v="1"/>
    <s v="Monitor"/>
    <x v="1"/>
    <n v="6"/>
    <n v="1428"/>
    <n v="6208"/>
    <n v="293.64"/>
    <n v="0.20563025210084032"/>
  </r>
  <r>
    <s v="2025-09-08"/>
    <x v="6"/>
    <x v="0"/>
    <x v="1"/>
    <x v="0"/>
    <s v="Phone"/>
    <x v="1"/>
    <n v="17"/>
    <n v="6834"/>
    <n v="13224"/>
    <n v="1457.69"/>
    <n v="0.21329967808018729"/>
  </r>
  <r>
    <s v="2025-07-02"/>
    <x v="0"/>
    <x v="0"/>
    <x v="1"/>
    <x v="2"/>
    <s v="Laptop"/>
    <x v="1"/>
    <n v="2"/>
    <n v="1758"/>
    <n v="9899"/>
    <n v="408.83"/>
    <n v="0.23255403868031854"/>
  </r>
  <r>
    <s v="2025-05-22"/>
    <x v="3"/>
    <x v="0"/>
    <x v="3"/>
    <x v="0"/>
    <s v="Desk Chair"/>
    <x v="0"/>
    <n v="3"/>
    <n v="3729"/>
    <n v="15472"/>
    <n v="1109.6600000000001"/>
    <n v="0.2975757575757576"/>
  </r>
  <r>
    <s v="2025-12-28"/>
    <x v="8"/>
    <x v="0"/>
    <x v="3"/>
    <x v="1"/>
    <s v="Tablet"/>
    <x v="1"/>
    <n v="4"/>
    <n v="1996"/>
    <n v="13454"/>
    <n v="557.97"/>
    <n v="0.27954408817635273"/>
  </r>
  <r>
    <s v="2025-03-08"/>
    <x v="7"/>
    <x v="0"/>
    <x v="0"/>
    <x v="2"/>
    <s v="Phone"/>
    <x v="1"/>
    <n v="16"/>
    <n v="15072"/>
    <n v="16794"/>
    <n v="3610.15"/>
    <n v="0.23952693736730363"/>
  </r>
  <r>
    <s v="2025-10-27"/>
    <x v="10"/>
    <x v="0"/>
    <x v="0"/>
    <x v="1"/>
    <s v="Printer"/>
    <x v="2"/>
    <n v="3"/>
    <n v="3684"/>
    <n v="19912"/>
    <n v="925.24"/>
    <n v="0.25115092290988056"/>
  </r>
  <r>
    <s v="2025-08-25"/>
    <x v="1"/>
    <x v="0"/>
    <x v="1"/>
    <x v="0"/>
    <s v="Phone"/>
    <x v="1"/>
    <n v="18"/>
    <n v="12852"/>
    <n v="17747"/>
    <n v="2360.16"/>
    <n v="0.18364145658263303"/>
  </r>
  <r>
    <s v="2025-12-09"/>
    <x v="8"/>
    <x v="0"/>
    <x v="2"/>
    <x v="4"/>
    <s v="Phone"/>
    <x v="1"/>
    <n v="9"/>
    <n v="11862"/>
    <n v="14334"/>
    <n v="3488.82"/>
    <n v="0.29411734951947399"/>
  </r>
  <r>
    <s v="2025-08-02"/>
    <x v="1"/>
    <x v="0"/>
    <x v="1"/>
    <x v="0"/>
    <s v="Phone"/>
    <x v="1"/>
    <n v="18"/>
    <n v="22104"/>
    <n v="17968"/>
    <n v="3548.8"/>
    <n v="0.1605501266739052"/>
  </r>
  <r>
    <s v="2025-10-30"/>
    <x v="10"/>
    <x v="0"/>
    <x v="2"/>
    <x v="3"/>
    <s v="Tablet"/>
    <x v="1"/>
    <n v="5"/>
    <n v="7450"/>
    <n v="19149"/>
    <n v="1029.48"/>
    <n v="0.13818523489932885"/>
  </r>
  <r>
    <s v="2025-06-03"/>
    <x v="4"/>
    <x v="0"/>
    <x v="1"/>
    <x v="2"/>
    <s v="Phone"/>
    <x v="1"/>
    <n v="1"/>
    <n v="639"/>
    <n v="6002"/>
    <n v="69.17"/>
    <n v="0.1082472613458529"/>
  </r>
  <r>
    <s v="2025-08-10"/>
    <x v="1"/>
    <x v="0"/>
    <x v="3"/>
    <x v="3"/>
    <s v="Phone"/>
    <x v="1"/>
    <n v="4"/>
    <n v="2476"/>
    <n v="9596"/>
    <n v="668.9"/>
    <n v="0.27015347334410339"/>
  </r>
  <r>
    <s v="2025-08-05"/>
    <x v="1"/>
    <x v="0"/>
    <x v="3"/>
    <x v="3"/>
    <s v="Printer"/>
    <x v="2"/>
    <n v="14"/>
    <n v="5334"/>
    <n v="8311"/>
    <n v="994"/>
    <n v="0.18635170603674542"/>
  </r>
  <r>
    <s v="2025-10-20"/>
    <x v="10"/>
    <x v="0"/>
    <x v="0"/>
    <x v="1"/>
    <s v="Printer"/>
    <x v="2"/>
    <n v="2"/>
    <n v="588"/>
    <n v="19168"/>
    <n v="96.94"/>
    <n v="0.16486394557823128"/>
  </r>
  <r>
    <s v="2025-01-02"/>
    <x v="5"/>
    <x v="0"/>
    <x v="3"/>
    <x v="1"/>
    <s v="Monitor"/>
    <x v="1"/>
    <n v="2"/>
    <n v="694"/>
    <n v="13511"/>
    <n v="148.47999999999999"/>
    <n v="0.21394812680115272"/>
  </r>
  <r>
    <s v="2025-08-14"/>
    <x v="1"/>
    <x v="0"/>
    <x v="1"/>
    <x v="4"/>
    <s v="Phone"/>
    <x v="1"/>
    <n v="9"/>
    <n v="7731"/>
    <n v="9268"/>
    <n v="1895.3"/>
    <n v="0.24515586599404993"/>
  </r>
  <r>
    <s v="2025-10-15"/>
    <x v="10"/>
    <x v="0"/>
    <x v="0"/>
    <x v="0"/>
    <s v="Printer"/>
    <x v="2"/>
    <n v="3"/>
    <n v="1104"/>
    <n v="17148"/>
    <n v="115.83"/>
    <n v="0.10491847826086956"/>
  </r>
  <r>
    <s v="2025-11-11"/>
    <x v="2"/>
    <x v="0"/>
    <x v="0"/>
    <x v="3"/>
    <s v="Tablet"/>
    <x v="1"/>
    <n v="3"/>
    <n v="1890"/>
    <n v="12128"/>
    <n v="534.47"/>
    <n v="0.28278835978835981"/>
  </r>
  <r>
    <s v="2025-05-06"/>
    <x v="3"/>
    <x v="0"/>
    <x v="2"/>
    <x v="3"/>
    <s v="Monitor"/>
    <x v="1"/>
    <n v="16"/>
    <n v="10960"/>
    <n v="17047"/>
    <n v="2741.21"/>
    <n v="0.25011040145985403"/>
  </r>
  <r>
    <s v="2025-12-28"/>
    <x v="8"/>
    <x v="0"/>
    <x v="2"/>
    <x v="1"/>
    <s v="Tablet"/>
    <x v="1"/>
    <n v="3"/>
    <n v="2517"/>
    <n v="15236"/>
    <n v="446.42"/>
    <n v="0.17736193881605086"/>
  </r>
  <r>
    <s v="2025-10-16"/>
    <x v="10"/>
    <x v="0"/>
    <x v="1"/>
    <x v="3"/>
    <s v="Laptop"/>
    <x v="1"/>
    <n v="13"/>
    <n v="3731"/>
    <n v="12750"/>
    <n v="396.04"/>
    <n v="0.10614848566068079"/>
  </r>
  <r>
    <s v="2025-08-27"/>
    <x v="1"/>
    <x v="0"/>
    <x v="0"/>
    <x v="1"/>
    <s v="Phone"/>
    <x v="1"/>
    <n v="9"/>
    <n v="5445"/>
    <n v="10473"/>
    <n v="1025.53"/>
    <n v="0.18834343434343434"/>
  </r>
  <r>
    <s v="2025-06-28"/>
    <x v="4"/>
    <x v="0"/>
    <x v="1"/>
    <x v="1"/>
    <s v="Tablet"/>
    <x v="1"/>
    <n v="5"/>
    <n v="5345"/>
    <n v="14774"/>
    <n v="754.55"/>
    <n v="0.14116931711880262"/>
  </r>
  <r>
    <s v="2025-02-28"/>
    <x v="11"/>
    <x v="0"/>
    <x v="0"/>
    <x v="3"/>
    <s v="Tablet"/>
    <x v="1"/>
    <n v="17"/>
    <n v="16558"/>
    <n v="10502"/>
    <n v="2875.09"/>
    <n v="0.17363751660828602"/>
  </r>
  <r>
    <s v="2025-04-04"/>
    <x v="9"/>
    <x v="0"/>
    <x v="1"/>
    <x v="4"/>
    <s v="Printer"/>
    <x v="2"/>
    <n v="7"/>
    <n v="1309"/>
    <n v="18446"/>
    <n v="175.66"/>
    <n v="0.13419404125286477"/>
  </r>
  <r>
    <s v="2025-01-24"/>
    <x v="5"/>
    <x v="0"/>
    <x v="3"/>
    <x v="1"/>
    <s v="Monitor"/>
    <x v="1"/>
    <n v="8"/>
    <n v="9128"/>
    <n v="7805"/>
    <n v="1334.67"/>
    <n v="0.14621713409290096"/>
  </r>
  <r>
    <s v="2025-07-14"/>
    <x v="0"/>
    <x v="0"/>
    <x v="2"/>
    <x v="2"/>
    <s v="Printer"/>
    <x v="2"/>
    <n v="5"/>
    <n v="4970"/>
    <n v="8541"/>
    <n v="1020.52"/>
    <n v="0.20533601609657948"/>
  </r>
  <r>
    <s v="2025-03-14"/>
    <x v="7"/>
    <x v="0"/>
    <x v="0"/>
    <x v="0"/>
    <s v="Desk Chair"/>
    <x v="0"/>
    <n v="5"/>
    <n v="6170"/>
    <n v="6016"/>
    <n v="1072.06"/>
    <n v="0.17375364667747162"/>
  </r>
  <r>
    <s v="2025-09-27"/>
    <x v="6"/>
    <x v="0"/>
    <x v="2"/>
    <x v="4"/>
    <s v="Tablet"/>
    <x v="1"/>
    <n v="17"/>
    <n v="3774"/>
    <n v="17142"/>
    <n v="392.83"/>
    <n v="0.10408850026497085"/>
  </r>
  <r>
    <s v="2025-10-20"/>
    <x v="10"/>
    <x v="0"/>
    <x v="3"/>
    <x v="2"/>
    <s v="Desk Chair"/>
    <x v="0"/>
    <n v="5"/>
    <n v="5240"/>
    <n v="5189"/>
    <n v="925.79"/>
    <n v="0.17667748091603053"/>
  </r>
  <r>
    <s v="2025-08-14"/>
    <x v="1"/>
    <x v="0"/>
    <x v="2"/>
    <x v="2"/>
    <s v="Printer"/>
    <x v="2"/>
    <n v="11"/>
    <n v="13046"/>
    <n v="14143"/>
    <n v="2772.66"/>
    <n v="0.21252951096121414"/>
  </r>
  <r>
    <s v="2025-03-16"/>
    <x v="7"/>
    <x v="0"/>
    <x v="1"/>
    <x v="4"/>
    <s v="Laptop"/>
    <x v="1"/>
    <n v="13"/>
    <n v="5252"/>
    <n v="12173"/>
    <n v="1358.97"/>
    <n v="0.25875285605483628"/>
  </r>
  <r>
    <s v="2025-07-04"/>
    <x v="0"/>
    <x v="0"/>
    <x v="0"/>
    <x v="4"/>
    <s v="Monitor"/>
    <x v="1"/>
    <n v="3"/>
    <n v="1026"/>
    <n v="10420"/>
    <n v="240.38"/>
    <n v="0.23428849902534113"/>
  </r>
  <r>
    <s v="2025-08-26"/>
    <x v="1"/>
    <x v="0"/>
    <x v="1"/>
    <x v="0"/>
    <s v="Desk Chair"/>
    <x v="0"/>
    <n v="13"/>
    <n v="11180"/>
    <n v="11124"/>
    <n v="2274.34"/>
    <n v="0.20342933810375671"/>
  </r>
  <r>
    <s v="2025-04-16"/>
    <x v="9"/>
    <x v="0"/>
    <x v="1"/>
    <x v="1"/>
    <s v="Tablet"/>
    <x v="1"/>
    <n v="17"/>
    <n v="22627"/>
    <n v="17755"/>
    <n v="5878.3"/>
    <n v="0.25979139965527909"/>
  </r>
  <r>
    <s v="2025-03-06"/>
    <x v="7"/>
    <x v="0"/>
    <x v="3"/>
    <x v="4"/>
    <s v="Desk Chair"/>
    <x v="0"/>
    <n v="3"/>
    <n v="3459"/>
    <n v="15437"/>
    <n v="899.72"/>
    <n v="0.26010985834056088"/>
  </r>
  <r>
    <s v="2025-03-29"/>
    <x v="7"/>
    <x v="0"/>
    <x v="2"/>
    <x v="4"/>
    <s v="Monitor"/>
    <x v="1"/>
    <n v="7"/>
    <n v="7630"/>
    <n v="8347"/>
    <n v="1514.21"/>
    <n v="0.19845478374836173"/>
  </r>
  <r>
    <s v="2025-09-26"/>
    <x v="6"/>
    <x v="0"/>
    <x v="2"/>
    <x v="1"/>
    <s v="Monitor"/>
    <x v="1"/>
    <n v="9"/>
    <n v="3798"/>
    <n v="15234"/>
    <n v="926.93"/>
    <n v="0.24405739863085835"/>
  </r>
  <r>
    <s v="2025-05-17"/>
    <x v="3"/>
    <x v="0"/>
    <x v="3"/>
    <x v="0"/>
    <s v="Monitor"/>
    <x v="1"/>
    <n v="15"/>
    <n v="10515"/>
    <n v="5044"/>
    <n v="2465.5500000000002"/>
    <n v="0.23447931526390872"/>
  </r>
  <r>
    <s v="2025-01-29"/>
    <x v="5"/>
    <x v="0"/>
    <x v="3"/>
    <x v="3"/>
    <s v="Desk Chair"/>
    <x v="0"/>
    <n v="18"/>
    <n v="21186"/>
    <n v="15214"/>
    <n v="3275.1"/>
    <n v="0.15458793542905691"/>
  </r>
  <r>
    <s v="2025-03-08"/>
    <x v="7"/>
    <x v="0"/>
    <x v="1"/>
    <x v="2"/>
    <s v="Laptop"/>
    <x v="1"/>
    <n v="5"/>
    <n v="1165"/>
    <n v="7935"/>
    <n v="216.64"/>
    <n v="0.18595708154506438"/>
  </r>
  <r>
    <s v="2025-07-22"/>
    <x v="0"/>
    <x v="0"/>
    <x v="3"/>
    <x v="0"/>
    <s v="Printer"/>
    <x v="2"/>
    <n v="3"/>
    <n v="1044"/>
    <n v="7046"/>
    <n v="239.77"/>
    <n v="0.22966475095785441"/>
  </r>
  <r>
    <s v="2025-08-31"/>
    <x v="1"/>
    <x v="0"/>
    <x v="3"/>
    <x v="4"/>
    <s v="Laptop"/>
    <x v="1"/>
    <n v="20"/>
    <n v="2140"/>
    <n v="8911"/>
    <n v="467.08"/>
    <n v="0.21826168224299064"/>
  </r>
  <r>
    <s v="2025-11-17"/>
    <x v="2"/>
    <x v="0"/>
    <x v="0"/>
    <x v="3"/>
    <s v="Tablet"/>
    <x v="1"/>
    <n v="7"/>
    <n v="8946"/>
    <n v="13739"/>
    <n v="2012.9"/>
    <n v="0.22500558909009613"/>
  </r>
  <r>
    <s v="2025-12-18"/>
    <x v="8"/>
    <x v="0"/>
    <x v="2"/>
    <x v="2"/>
    <s v="Monitor"/>
    <x v="1"/>
    <n v="16"/>
    <n v="20416"/>
    <n v="13458"/>
    <n v="4729.29"/>
    <n v="0.23164625783699058"/>
  </r>
  <r>
    <s v="2025-02-19"/>
    <x v="11"/>
    <x v="0"/>
    <x v="1"/>
    <x v="4"/>
    <s v="Phone"/>
    <x v="1"/>
    <n v="18"/>
    <n v="20322"/>
    <n v="8936"/>
    <n v="3392.29"/>
    <n v="0.16692697569136897"/>
  </r>
  <r>
    <s v="2025-03-18"/>
    <x v="7"/>
    <x v="0"/>
    <x v="0"/>
    <x v="3"/>
    <s v="Desk Chair"/>
    <x v="0"/>
    <n v="19"/>
    <n v="11818"/>
    <n v="13027"/>
    <n v="1960.99"/>
    <n v="0.16593247588424437"/>
  </r>
  <r>
    <s v="2025-09-28"/>
    <x v="6"/>
    <x v="0"/>
    <x v="3"/>
    <x v="0"/>
    <s v="Printer"/>
    <x v="2"/>
    <n v="4"/>
    <n v="500"/>
    <n v="8230"/>
    <n v="133.19"/>
    <n v="0.26638000000000001"/>
  </r>
  <r>
    <s v="2025-02-26"/>
    <x v="11"/>
    <x v="0"/>
    <x v="1"/>
    <x v="4"/>
    <s v="Phone"/>
    <x v="1"/>
    <n v="11"/>
    <n v="5918"/>
    <n v="15613"/>
    <n v="639.36"/>
    <n v="0.10803649881716797"/>
  </r>
  <r>
    <s v="2025-09-20"/>
    <x v="6"/>
    <x v="0"/>
    <x v="1"/>
    <x v="2"/>
    <s v="Desk Chair"/>
    <x v="0"/>
    <n v="1"/>
    <n v="1038"/>
    <n v="8777"/>
    <n v="178.66"/>
    <n v="0.17211946050096338"/>
  </r>
  <r>
    <s v="2025-02-13"/>
    <x v="11"/>
    <x v="0"/>
    <x v="0"/>
    <x v="3"/>
    <s v="Monitor"/>
    <x v="1"/>
    <n v="6"/>
    <n v="6912"/>
    <n v="19878"/>
    <n v="1980.37"/>
    <n v="0.28651186342592588"/>
  </r>
  <r>
    <s v="2025-04-07"/>
    <x v="9"/>
    <x v="0"/>
    <x v="2"/>
    <x v="1"/>
    <s v="Laptop"/>
    <x v="1"/>
    <n v="13"/>
    <n v="7943"/>
    <n v="6828"/>
    <n v="2091.5"/>
    <n v="0.26331360946745563"/>
  </r>
  <r>
    <s v="2025-03-06"/>
    <x v="7"/>
    <x v="0"/>
    <x v="1"/>
    <x v="3"/>
    <s v="Laptop"/>
    <x v="1"/>
    <n v="14"/>
    <n v="9786"/>
    <n v="18898"/>
    <n v="2226.66"/>
    <n v="0.22753525444512568"/>
  </r>
  <r>
    <s v="2025-03-12"/>
    <x v="7"/>
    <x v="0"/>
    <x v="1"/>
    <x v="3"/>
    <s v="Printer"/>
    <x v="2"/>
    <n v="6"/>
    <n v="6330"/>
    <n v="17426"/>
    <n v="1775.94"/>
    <n v="0.28055924170616114"/>
  </r>
  <r>
    <s v="2025-08-06"/>
    <x v="1"/>
    <x v="0"/>
    <x v="3"/>
    <x v="2"/>
    <s v="Tablet"/>
    <x v="1"/>
    <n v="13"/>
    <n v="4082"/>
    <n v="19327"/>
    <n v="878.7"/>
    <n v="0.21526212640862324"/>
  </r>
  <r>
    <s v="2025-06-05"/>
    <x v="4"/>
    <x v="0"/>
    <x v="1"/>
    <x v="1"/>
    <s v="Tablet"/>
    <x v="1"/>
    <n v="14"/>
    <n v="10920"/>
    <n v="18885"/>
    <n v="2491.54"/>
    <n v="0.22816300366300366"/>
  </r>
  <r>
    <s v="2025-12-08"/>
    <x v="8"/>
    <x v="0"/>
    <x v="2"/>
    <x v="1"/>
    <s v="Desk Chair"/>
    <x v="0"/>
    <n v="5"/>
    <n v="6975"/>
    <n v="8718"/>
    <n v="1912.55"/>
    <n v="0.27420071684587816"/>
  </r>
  <r>
    <s v="2025-01-14"/>
    <x v="5"/>
    <x v="0"/>
    <x v="2"/>
    <x v="0"/>
    <s v="Phone"/>
    <x v="1"/>
    <n v="16"/>
    <n v="14848"/>
    <n v="6015"/>
    <n v="1791.04"/>
    <n v="0.120625"/>
  </r>
  <r>
    <s v="2025-05-02"/>
    <x v="3"/>
    <x v="0"/>
    <x v="3"/>
    <x v="4"/>
    <s v="Laptop"/>
    <x v="1"/>
    <n v="8"/>
    <n v="7672"/>
    <n v="5300"/>
    <n v="1777.73"/>
    <n v="0.23171663190823774"/>
  </r>
  <r>
    <s v="2025-05-11"/>
    <x v="3"/>
    <x v="0"/>
    <x v="3"/>
    <x v="4"/>
    <s v="Monitor"/>
    <x v="1"/>
    <n v="18"/>
    <n v="15894"/>
    <n v="6859"/>
    <n v="3819.85"/>
    <n v="0.24033282999874167"/>
  </r>
  <r>
    <s v="2025-12-25"/>
    <x v="8"/>
    <x v="0"/>
    <x v="1"/>
    <x v="3"/>
    <s v="Laptop"/>
    <x v="1"/>
    <n v="20"/>
    <n v="16600"/>
    <n v="10247"/>
    <n v="3237.54"/>
    <n v="0.19503253012048191"/>
  </r>
  <r>
    <s v="2025-08-02"/>
    <x v="1"/>
    <x v="0"/>
    <x v="3"/>
    <x v="2"/>
    <s v="Printer"/>
    <x v="2"/>
    <n v="5"/>
    <n v="4835"/>
    <n v="5117"/>
    <n v="1403.51"/>
    <n v="0.29028128231644262"/>
  </r>
  <r>
    <s v="2025-10-27"/>
    <x v="10"/>
    <x v="0"/>
    <x v="2"/>
    <x v="3"/>
    <s v="Monitor"/>
    <x v="1"/>
    <n v="8"/>
    <n v="8488"/>
    <n v="19367"/>
    <n v="1371.74"/>
    <n v="0.16160933081998116"/>
  </r>
  <r>
    <s v="2025-10-26"/>
    <x v="10"/>
    <x v="0"/>
    <x v="1"/>
    <x v="3"/>
    <s v="Monitor"/>
    <x v="1"/>
    <n v="18"/>
    <n v="15804"/>
    <n v="7135"/>
    <n v="2721.51"/>
    <n v="0.17220387243735766"/>
  </r>
  <r>
    <s v="2025-12-22"/>
    <x v="8"/>
    <x v="0"/>
    <x v="0"/>
    <x v="4"/>
    <s v="Phone"/>
    <x v="1"/>
    <n v="3"/>
    <n v="1593"/>
    <n v="15563"/>
    <n v="180.83"/>
    <n v="0.11351537978656623"/>
  </r>
  <r>
    <s v="2025-01-29"/>
    <x v="5"/>
    <x v="0"/>
    <x v="2"/>
    <x v="1"/>
    <s v="Printer"/>
    <x v="2"/>
    <n v="5"/>
    <n v="3835"/>
    <n v="17109"/>
    <n v="740.21"/>
    <n v="0.19301434159061279"/>
  </r>
  <r>
    <s v="2025-05-30"/>
    <x v="3"/>
    <x v="0"/>
    <x v="3"/>
    <x v="4"/>
    <s v="Desk Chair"/>
    <x v="0"/>
    <n v="18"/>
    <n v="2880"/>
    <n v="10593"/>
    <n v="413.25"/>
    <n v="0.14348958333333334"/>
  </r>
  <r>
    <s v="2025-12-17"/>
    <x v="8"/>
    <x v="0"/>
    <x v="1"/>
    <x v="0"/>
    <s v="Monitor"/>
    <x v="1"/>
    <n v="3"/>
    <n v="3135"/>
    <n v="5792"/>
    <n v="344.49"/>
    <n v="0.10988516746411484"/>
  </r>
  <r>
    <s v="2025-08-13"/>
    <x v="1"/>
    <x v="0"/>
    <x v="0"/>
    <x v="4"/>
    <s v="Phone"/>
    <x v="1"/>
    <n v="14"/>
    <n v="7644"/>
    <n v="13474"/>
    <n v="1062.72"/>
    <n v="0.13902668759811618"/>
  </r>
  <r>
    <s v="2025-08-31"/>
    <x v="1"/>
    <x v="0"/>
    <x v="1"/>
    <x v="4"/>
    <s v="Phone"/>
    <x v="1"/>
    <n v="13"/>
    <n v="12441"/>
    <n v="12948"/>
    <n v="3217.9"/>
    <n v="0.25865284141146211"/>
  </r>
  <r>
    <s v="2025-06-26"/>
    <x v="4"/>
    <x v="0"/>
    <x v="3"/>
    <x v="4"/>
    <s v="Monitor"/>
    <x v="1"/>
    <n v="6"/>
    <n v="894"/>
    <n v="5624"/>
    <n v="255.68"/>
    <n v="0.28599552572706938"/>
  </r>
  <r>
    <s v="2025-03-02"/>
    <x v="7"/>
    <x v="0"/>
    <x v="2"/>
    <x v="1"/>
    <s v="Monitor"/>
    <x v="1"/>
    <n v="16"/>
    <n v="6704"/>
    <n v="16830"/>
    <n v="1974.75"/>
    <n v="0.29456294749403339"/>
  </r>
  <r>
    <s v="2025-10-18"/>
    <x v="10"/>
    <x v="0"/>
    <x v="0"/>
    <x v="1"/>
    <s v="Laptop"/>
    <x v="1"/>
    <n v="18"/>
    <n v="16416"/>
    <n v="17163"/>
    <n v="3630.08"/>
    <n v="0.22113060428849901"/>
  </r>
  <r>
    <s v="2025-02-25"/>
    <x v="11"/>
    <x v="0"/>
    <x v="0"/>
    <x v="2"/>
    <s v="Phone"/>
    <x v="1"/>
    <n v="11"/>
    <n v="1419"/>
    <n v="5626"/>
    <n v="374.8"/>
    <n v="0.26412966878083161"/>
  </r>
  <r>
    <s v="2025-10-19"/>
    <x v="10"/>
    <x v="0"/>
    <x v="1"/>
    <x v="0"/>
    <s v="Desk Chair"/>
    <x v="0"/>
    <n v="9"/>
    <n v="7785"/>
    <n v="16665"/>
    <n v="1887.4"/>
    <n v="0.24244059087989725"/>
  </r>
  <r>
    <s v="2025-08-30"/>
    <x v="1"/>
    <x v="0"/>
    <x v="0"/>
    <x v="3"/>
    <s v="Laptop"/>
    <x v="1"/>
    <n v="6"/>
    <n v="6078"/>
    <n v="14140"/>
    <n v="1209.04"/>
    <n v="0.19892069759789405"/>
  </r>
  <r>
    <s v="2025-03-08"/>
    <x v="7"/>
    <x v="0"/>
    <x v="3"/>
    <x v="0"/>
    <s v="Desk Chair"/>
    <x v="0"/>
    <n v="10"/>
    <n v="7740"/>
    <n v="15771"/>
    <n v="2291.31"/>
    <n v="0.29603488372093023"/>
  </r>
  <r>
    <s v="2025-08-11"/>
    <x v="1"/>
    <x v="0"/>
    <x v="2"/>
    <x v="4"/>
    <s v="Laptop"/>
    <x v="1"/>
    <n v="18"/>
    <n v="23130"/>
    <n v="8694"/>
    <n v="2367.38"/>
    <n v="0.10235105923043666"/>
  </r>
  <r>
    <s v="2025-10-02"/>
    <x v="10"/>
    <x v="0"/>
    <x v="0"/>
    <x v="1"/>
    <s v="Laptop"/>
    <x v="1"/>
    <n v="3"/>
    <n v="405"/>
    <n v="18353"/>
    <n v="84.09"/>
    <n v="0.20762962962962964"/>
  </r>
  <r>
    <s v="2025-02-18"/>
    <x v="11"/>
    <x v="0"/>
    <x v="1"/>
    <x v="4"/>
    <s v="Tablet"/>
    <x v="1"/>
    <n v="17"/>
    <n v="12274"/>
    <n v="13684"/>
    <n v="2378.58"/>
    <n v="0.19379012546846994"/>
  </r>
  <r>
    <s v="2025-07-17"/>
    <x v="0"/>
    <x v="0"/>
    <x v="2"/>
    <x v="4"/>
    <s v="Desk Chair"/>
    <x v="0"/>
    <n v="7"/>
    <n v="8960"/>
    <n v="16465"/>
    <n v="1838.58"/>
    <n v="0.20519866071428572"/>
  </r>
  <r>
    <s v="2025-07-05"/>
    <x v="0"/>
    <x v="0"/>
    <x v="3"/>
    <x v="2"/>
    <s v="Tablet"/>
    <x v="1"/>
    <n v="14"/>
    <n v="10206"/>
    <n v="13560"/>
    <n v="1505.3"/>
    <n v="0.14749167156574564"/>
  </r>
  <r>
    <s v="2025-05-16"/>
    <x v="3"/>
    <x v="0"/>
    <x v="3"/>
    <x v="1"/>
    <s v="Laptop"/>
    <x v="1"/>
    <n v="13"/>
    <n v="11323"/>
    <n v="7891"/>
    <n v="3219.39"/>
    <n v="0.28432305925991341"/>
  </r>
  <r>
    <s v="2025-12-16"/>
    <x v="8"/>
    <x v="0"/>
    <x v="2"/>
    <x v="2"/>
    <s v="Printer"/>
    <x v="2"/>
    <n v="15"/>
    <n v="4935"/>
    <n v="11337"/>
    <n v="1207.3699999999999"/>
    <n v="0.2446545086119554"/>
  </r>
  <r>
    <s v="2025-11-09"/>
    <x v="2"/>
    <x v="0"/>
    <x v="2"/>
    <x v="0"/>
    <s v="Tablet"/>
    <x v="1"/>
    <n v="18"/>
    <n v="12438"/>
    <n v="12790"/>
    <n v="3004.55"/>
    <n v="0.24156214825534653"/>
  </r>
  <r>
    <s v="2025-03-17"/>
    <x v="7"/>
    <x v="0"/>
    <x v="1"/>
    <x v="1"/>
    <s v="Phone"/>
    <x v="1"/>
    <n v="8"/>
    <n v="6032"/>
    <n v="6673"/>
    <n v="713.93"/>
    <n v="0.11835709549071617"/>
  </r>
  <r>
    <s v="2025-06-22"/>
    <x v="4"/>
    <x v="0"/>
    <x v="3"/>
    <x v="3"/>
    <s v="Printer"/>
    <x v="2"/>
    <n v="8"/>
    <n v="1792"/>
    <n v="14864"/>
    <n v="223.35"/>
    <n v="0.12463727678571428"/>
  </r>
  <r>
    <s v="2025-01-23"/>
    <x v="5"/>
    <x v="0"/>
    <x v="3"/>
    <x v="0"/>
    <s v="Printer"/>
    <x v="2"/>
    <n v="13"/>
    <n v="17615"/>
    <n v="12846"/>
    <n v="4210.82"/>
    <n v="0.2390474027817201"/>
  </r>
  <r>
    <s v="2025-03-16"/>
    <x v="7"/>
    <x v="0"/>
    <x v="2"/>
    <x v="4"/>
    <s v="Printer"/>
    <x v="2"/>
    <n v="1"/>
    <n v="637"/>
    <n v="19435"/>
    <n v="168.33"/>
    <n v="0.26425431711145997"/>
  </r>
  <r>
    <s v="2025-09-22"/>
    <x v="6"/>
    <x v="0"/>
    <x v="3"/>
    <x v="4"/>
    <s v="Phone"/>
    <x v="1"/>
    <n v="14"/>
    <n v="15484"/>
    <n v="19526"/>
    <n v="2886.5"/>
    <n v="0.18641823818134848"/>
  </r>
  <r>
    <s v="2025-05-25"/>
    <x v="3"/>
    <x v="0"/>
    <x v="2"/>
    <x v="1"/>
    <s v="Tablet"/>
    <x v="1"/>
    <n v="1"/>
    <n v="114"/>
    <n v="12436"/>
    <n v="23.32"/>
    <n v="0.20456140350877194"/>
  </r>
  <r>
    <s v="2025-05-06"/>
    <x v="3"/>
    <x v="0"/>
    <x v="0"/>
    <x v="2"/>
    <s v="Laptop"/>
    <x v="1"/>
    <n v="17"/>
    <n v="3570"/>
    <n v="13213"/>
    <n v="860.49"/>
    <n v="0.24103361344537816"/>
  </r>
  <r>
    <s v="2025-12-06"/>
    <x v="8"/>
    <x v="0"/>
    <x v="2"/>
    <x v="4"/>
    <s v="Printer"/>
    <x v="2"/>
    <n v="17"/>
    <n v="24225"/>
    <n v="11558"/>
    <n v="4637.71"/>
    <n v="0.19144313725490197"/>
  </r>
  <r>
    <s v="2025-02-09"/>
    <x v="11"/>
    <x v="0"/>
    <x v="3"/>
    <x v="4"/>
    <s v="Printer"/>
    <x v="2"/>
    <n v="20"/>
    <n v="19760"/>
    <n v="10302"/>
    <n v="5778.77"/>
    <n v="0.29244787449392717"/>
  </r>
  <r>
    <s v="2025-01-11"/>
    <x v="5"/>
    <x v="0"/>
    <x v="1"/>
    <x v="2"/>
    <s v="Printer"/>
    <x v="2"/>
    <n v="6"/>
    <n v="6498"/>
    <n v="7152"/>
    <n v="1250.18"/>
    <n v="0.19239458294859957"/>
  </r>
  <r>
    <s v="2025-07-29"/>
    <x v="0"/>
    <x v="0"/>
    <x v="1"/>
    <x v="3"/>
    <s v="Desk Chair"/>
    <x v="0"/>
    <n v="17"/>
    <n v="1785"/>
    <n v="12579"/>
    <n v="265.12"/>
    <n v="0.14852661064425771"/>
  </r>
  <r>
    <s v="2025-08-11"/>
    <x v="1"/>
    <x v="0"/>
    <x v="3"/>
    <x v="4"/>
    <s v="Desk Chair"/>
    <x v="0"/>
    <n v="4"/>
    <n v="1660"/>
    <n v="13565"/>
    <n v="459.95"/>
    <n v="0.27707831325301202"/>
  </r>
  <r>
    <s v="2025-11-12"/>
    <x v="2"/>
    <x v="0"/>
    <x v="1"/>
    <x v="4"/>
    <s v="Laptop"/>
    <x v="1"/>
    <n v="17"/>
    <n v="8823"/>
    <n v="7425"/>
    <n v="1016.55"/>
    <n v="0.11521591295477727"/>
  </r>
  <r>
    <s v="2025-02-04"/>
    <x v="11"/>
    <x v="0"/>
    <x v="2"/>
    <x v="3"/>
    <s v="Monitor"/>
    <x v="1"/>
    <n v="12"/>
    <n v="9108"/>
    <n v="7922"/>
    <n v="1321.23"/>
    <n v="0.14506258234519104"/>
  </r>
  <r>
    <s v="2025-09-28"/>
    <x v="6"/>
    <x v="0"/>
    <x v="2"/>
    <x v="3"/>
    <s v="Phone"/>
    <x v="1"/>
    <n v="3"/>
    <n v="1305"/>
    <n v="7660"/>
    <n v="382.52"/>
    <n v="0.29311877394636016"/>
  </r>
  <r>
    <s v="2025-10-12"/>
    <x v="10"/>
    <x v="0"/>
    <x v="0"/>
    <x v="2"/>
    <s v="Tablet"/>
    <x v="1"/>
    <n v="6"/>
    <n v="4776"/>
    <n v="17790"/>
    <n v="935.37"/>
    <n v="0.19584798994974875"/>
  </r>
  <r>
    <s v="2025-03-07"/>
    <x v="7"/>
    <x v="0"/>
    <x v="2"/>
    <x v="0"/>
    <s v="Tablet"/>
    <x v="1"/>
    <n v="13"/>
    <n v="18655"/>
    <n v="5361"/>
    <n v="3741.13"/>
    <n v="0.20054301795765211"/>
  </r>
  <r>
    <s v="2025-12-29"/>
    <x v="8"/>
    <x v="0"/>
    <x v="2"/>
    <x v="3"/>
    <s v="Laptop"/>
    <x v="1"/>
    <n v="12"/>
    <n v="4020"/>
    <n v="7412"/>
    <n v="558.73"/>
    <n v="0.13898756218905473"/>
  </r>
  <r>
    <s v="2025-08-25"/>
    <x v="1"/>
    <x v="0"/>
    <x v="0"/>
    <x v="0"/>
    <s v="Monitor"/>
    <x v="1"/>
    <n v="8"/>
    <n v="1296"/>
    <n v="17661"/>
    <n v="322.74"/>
    <n v="0.24902777777777779"/>
  </r>
  <r>
    <s v="2025-12-15"/>
    <x v="8"/>
    <x v="0"/>
    <x v="2"/>
    <x v="4"/>
    <s v="Tablet"/>
    <x v="1"/>
    <n v="12"/>
    <n v="1836"/>
    <n v="9798"/>
    <n v="331.86"/>
    <n v="0.18075163398692812"/>
  </r>
  <r>
    <s v="2025-11-11"/>
    <x v="2"/>
    <x v="0"/>
    <x v="1"/>
    <x v="4"/>
    <s v="Printer"/>
    <x v="2"/>
    <n v="5"/>
    <n v="1870"/>
    <n v="14105"/>
    <n v="526.36"/>
    <n v="0.28147593582887703"/>
  </r>
  <r>
    <s v="2025-04-07"/>
    <x v="9"/>
    <x v="0"/>
    <x v="2"/>
    <x v="0"/>
    <s v="Monitor"/>
    <x v="1"/>
    <n v="20"/>
    <n v="2080"/>
    <n v="13146"/>
    <n v="377.2"/>
    <n v="0.18134615384615385"/>
  </r>
  <r>
    <s v="2025-06-06"/>
    <x v="4"/>
    <x v="0"/>
    <x v="2"/>
    <x v="2"/>
    <s v="Printer"/>
    <x v="2"/>
    <n v="3"/>
    <n v="2745"/>
    <n v="16119"/>
    <n v="516.85"/>
    <n v="0.18828779599271403"/>
  </r>
  <r>
    <s v="2025-10-04"/>
    <x v="10"/>
    <x v="0"/>
    <x v="2"/>
    <x v="3"/>
    <s v="Tablet"/>
    <x v="1"/>
    <n v="20"/>
    <n v="28280"/>
    <n v="7803"/>
    <n v="6768.32"/>
    <n v="0.23933239038189533"/>
  </r>
  <r>
    <s v="2025-02-15"/>
    <x v="11"/>
    <x v="0"/>
    <x v="1"/>
    <x v="3"/>
    <s v="Tablet"/>
    <x v="1"/>
    <n v="1"/>
    <n v="1402"/>
    <n v="18139"/>
    <n v="290.45"/>
    <n v="0.20716833095577744"/>
  </r>
  <r>
    <s v="2025-11-29"/>
    <x v="2"/>
    <x v="0"/>
    <x v="1"/>
    <x v="0"/>
    <s v="Laptop"/>
    <x v="1"/>
    <n v="16"/>
    <n v="7648"/>
    <n v="10047"/>
    <n v="1516.59"/>
    <n v="0.19829890167364014"/>
  </r>
  <r>
    <s v="2025-02-11"/>
    <x v="11"/>
    <x v="0"/>
    <x v="0"/>
    <x v="2"/>
    <s v="Phone"/>
    <x v="1"/>
    <n v="15"/>
    <n v="15345"/>
    <n v="8840"/>
    <n v="4578.03"/>
    <n v="0.29834017595307916"/>
  </r>
  <r>
    <s v="2025-01-23"/>
    <x v="5"/>
    <x v="0"/>
    <x v="1"/>
    <x v="0"/>
    <s v="Printer"/>
    <x v="2"/>
    <n v="9"/>
    <n v="9225"/>
    <n v="12790"/>
    <n v="1585.18"/>
    <n v="0.17183523035230353"/>
  </r>
  <r>
    <s v="2025-11-27"/>
    <x v="2"/>
    <x v="0"/>
    <x v="1"/>
    <x v="1"/>
    <s v="Phone"/>
    <x v="1"/>
    <n v="1"/>
    <n v="456"/>
    <n v="6746"/>
    <n v="86.58"/>
    <n v="0.18986842105263158"/>
  </r>
  <r>
    <s v="2025-06-23"/>
    <x v="4"/>
    <x v="0"/>
    <x v="3"/>
    <x v="0"/>
    <s v="Printer"/>
    <x v="2"/>
    <n v="18"/>
    <n v="13320"/>
    <n v="11829"/>
    <n v="2798.74"/>
    <n v="0.21011561561561559"/>
  </r>
  <r>
    <s v="2025-07-27"/>
    <x v="0"/>
    <x v="0"/>
    <x v="2"/>
    <x v="3"/>
    <s v="Laptop"/>
    <x v="1"/>
    <n v="2"/>
    <n v="1146"/>
    <n v="14037"/>
    <n v="179.83"/>
    <n v="0.15691972076788832"/>
  </r>
  <r>
    <s v="2025-09-03"/>
    <x v="6"/>
    <x v="0"/>
    <x v="0"/>
    <x v="4"/>
    <s v="Printer"/>
    <x v="2"/>
    <n v="3"/>
    <n v="4185"/>
    <n v="10723"/>
    <n v="649.4"/>
    <n v="0.15517323775388292"/>
  </r>
  <r>
    <s v="2025-10-18"/>
    <x v="10"/>
    <x v="0"/>
    <x v="1"/>
    <x v="1"/>
    <s v="Tablet"/>
    <x v="1"/>
    <n v="17"/>
    <n v="18581"/>
    <n v="5845"/>
    <n v="4249.6899999999996"/>
    <n v="0.22871158710510733"/>
  </r>
  <r>
    <s v="2025-10-05"/>
    <x v="10"/>
    <x v="0"/>
    <x v="0"/>
    <x v="1"/>
    <s v="Printer"/>
    <x v="2"/>
    <n v="8"/>
    <n v="1672"/>
    <n v="6604"/>
    <n v="314.08999999999997"/>
    <n v="0.1878528708133971"/>
  </r>
  <r>
    <s v="2025-06-10"/>
    <x v="4"/>
    <x v="0"/>
    <x v="0"/>
    <x v="3"/>
    <s v="Printer"/>
    <x v="2"/>
    <n v="2"/>
    <n v="730"/>
    <n v="17529"/>
    <n v="101.2"/>
    <n v="0.13863013698630136"/>
  </r>
  <r>
    <s v="2025-09-28"/>
    <x v="6"/>
    <x v="0"/>
    <x v="3"/>
    <x v="0"/>
    <s v="Tablet"/>
    <x v="1"/>
    <n v="5"/>
    <n v="5435"/>
    <n v="19901"/>
    <n v="745.15"/>
    <n v="0.13710211591536339"/>
  </r>
  <r>
    <s v="2025-02-06"/>
    <x v="11"/>
    <x v="0"/>
    <x v="2"/>
    <x v="2"/>
    <s v="Phone"/>
    <x v="1"/>
    <n v="17"/>
    <n v="25211"/>
    <n v="12794"/>
    <n v="6267.89"/>
    <n v="0.24861727023918131"/>
  </r>
  <r>
    <s v="2025-12-12"/>
    <x v="8"/>
    <x v="0"/>
    <x v="3"/>
    <x v="4"/>
    <s v="Monitor"/>
    <x v="1"/>
    <n v="18"/>
    <n v="12996"/>
    <n v="6892"/>
    <n v="2457.2399999999998"/>
    <n v="0.18907663896583563"/>
  </r>
  <r>
    <s v="2025-07-27"/>
    <x v="0"/>
    <x v="0"/>
    <x v="2"/>
    <x v="1"/>
    <s v="Desk Chair"/>
    <x v="0"/>
    <n v="19"/>
    <n v="18202"/>
    <n v="19907"/>
    <n v="4462.58"/>
    <n v="0.24516976156466322"/>
  </r>
  <r>
    <s v="2025-10-14"/>
    <x v="10"/>
    <x v="0"/>
    <x v="2"/>
    <x v="1"/>
    <s v="Monitor"/>
    <x v="1"/>
    <n v="12"/>
    <n v="4872"/>
    <n v="15169"/>
    <n v="942.45"/>
    <n v="0.19344211822660098"/>
  </r>
  <r>
    <s v="2025-08-03"/>
    <x v="1"/>
    <x v="0"/>
    <x v="3"/>
    <x v="2"/>
    <s v="Laptop"/>
    <x v="1"/>
    <n v="16"/>
    <n v="18016"/>
    <n v="14617"/>
    <n v="5115.8100000000004"/>
    <n v="0.28395925843694497"/>
  </r>
  <r>
    <s v="2025-01-30"/>
    <x v="5"/>
    <x v="0"/>
    <x v="3"/>
    <x v="2"/>
    <s v="Phone"/>
    <x v="1"/>
    <n v="20"/>
    <n v="28220"/>
    <n v="6398"/>
    <n v="6285.73"/>
    <n v="0.22274025513819984"/>
  </r>
  <r>
    <s v="2025-02-10"/>
    <x v="11"/>
    <x v="0"/>
    <x v="0"/>
    <x v="4"/>
    <s v="Phone"/>
    <x v="1"/>
    <n v="13"/>
    <n v="5070"/>
    <n v="6910"/>
    <n v="661.17"/>
    <n v="0.13040828402366864"/>
  </r>
  <r>
    <s v="2025-07-16"/>
    <x v="0"/>
    <x v="0"/>
    <x v="3"/>
    <x v="2"/>
    <s v="Phone"/>
    <x v="1"/>
    <n v="4"/>
    <n v="4632"/>
    <n v="6431"/>
    <n v="794.79"/>
    <n v="0.17158678756476684"/>
  </r>
  <r>
    <s v="2025-12-08"/>
    <x v="8"/>
    <x v="0"/>
    <x v="3"/>
    <x v="3"/>
    <s v="Laptop"/>
    <x v="1"/>
    <n v="10"/>
    <n v="10460"/>
    <n v="15743"/>
    <n v="3084.98"/>
    <n v="0.29493116634799238"/>
  </r>
  <r>
    <s v="2025-07-30"/>
    <x v="0"/>
    <x v="0"/>
    <x v="0"/>
    <x v="4"/>
    <s v="Desk Chair"/>
    <x v="0"/>
    <n v="4"/>
    <n v="3180"/>
    <n v="18204"/>
    <n v="338.67"/>
    <n v="0.10650000000000001"/>
  </r>
  <r>
    <s v="2025-09-07"/>
    <x v="6"/>
    <x v="0"/>
    <x v="1"/>
    <x v="3"/>
    <s v="Desk Chair"/>
    <x v="0"/>
    <n v="4"/>
    <n v="1156"/>
    <n v="12064"/>
    <n v="345.77"/>
    <n v="0.29910899653979239"/>
  </r>
  <r>
    <s v="2025-03-30"/>
    <x v="7"/>
    <x v="0"/>
    <x v="2"/>
    <x v="1"/>
    <s v="Laptop"/>
    <x v="1"/>
    <n v="17"/>
    <n v="9299"/>
    <n v="10539"/>
    <n v="1402.59"/>
    <n v="0.1508323475642542"/>
  </r>
  <r>
    <s v="2025-03-31"/>
    <x v="7"/>
    <x v="0"/>
    <x v="0"/>
    <x v="1"/>
    <s v="Printer"/>
    <x v="2"/>
    <n v="6"/>
    <n v="8910"/>
    <n v="8543"/>
    <n v="1786.36"/>
    <n v="0.20048933782267114"/>
  </r>
  <r>
    <s v="2025-07-20"/>
    <x v="0"/>
    <x v="0"/>
    <x v="2"/>
    <x v="0"/>
    <s v="Monitor"/>
    <x v="1"/>
    <n v="2"/>
    <n v="2430"/>
    <n v="15169"/>
    <n v="394.09"/>
    <n v="0.16217695473251029"/>
  </r>
  <r>
    <s v="2025-01-12"/>
    <x v="5"/>
    <x v="0"/>
    <x v="3"/>
    <x v="3"/>
    <s v="Monitor"/>
    <x v="1"/>
    <n v="6"/>
    <n v="1260"/>
    <n v="9754"/>
    <n v="268.22000000000003"/>
    <n v="0.21287301587301591"/>
  </r>
  <r>
    <s v="2025-08-28"/>
    <x v="1"/>
    <x v="0"/>
    <x v="3"/>
    <x v="4"/>
    <s v="Tablet"/>
    <x v="1"/>
    <n v="15"/>
    <n v="21570"/>
    <n v="16846"/>
    <n v="4386.58"/>
    <n v="0.20336485859990727"/>
  </r>
  <r>
    <s v="2025-11-29"/>
    <x v="2"/>
    <x v="0"/>
    <x v="0"/>
    <x v="2"/>
    <s v="Monitor"/>
    <x v="1"/>
    <n v="16"/>
    <n v="15792"/>
    <n v="16259"/>
    <n v="2789"/>
    <n v="0.17660840932117527"/>
  </r>
  <r>
    <s v="2025-07-25"/>
    <x v="0"/>
    <x v="0"/>
    <x v="3"/>
    <x v="2"/>
    <s v="Phone"/>
    <x v="1"/>
    <n v="4"/>
    <n v="1988"/>
    <n v="8767"/>
    <n v="264.45"/>
    <n v="0.13302313883299799"/>
  </r>
  <r>
    <s v="2025-02-10"/>
    <x v="11"/>
    <x v="0"/>
    <x v="3"/>
    <x v="2"/>
    <s v="Tablet"/>
    <x v="1"/>
    <n v="12"/>
    <n v="15204"/>
    <n v="7428"/>
    <n v="3222.03"/>
    <n v="0.21191988950276244"/>
  </r>
  <r>
    <s v="2025-06-28"/>
    <x v="4"/>
    <x v="0"/>
    <x v="0"/>
    <x v="3"/>
    <s v="Monitor"/>
    <x v="1"/>
    <n v="10"/>
    <n v="7970"/>
    <n v="15248"/>
    <n v="1230.8800000000001"/>
    <n v="0.15443914680050189"/>
  </r>
  <r>
    <s v="2025-08-27"/>
    <x v="1"/>
    <x v="0"/>
    <x v="0"/>
    <x v="1"/>
    <s v="Tablet"/>
    <x v="1"/>
    <n v="7"/>
    <n v="7357"/>
    <n v="8245"/>
    <n v="1768.41"/>
    <n v="0.2403710751665081"/>
  </r>
  <r>
    <s v="2025-01-09"/>
    <x v="5"/>
    <x v="0"/>
    <x v="2"/>
    <x v="3"/>
    <s v="Tablet"/>
    <x v="1"/>
    <n v="6"/>
    <n v="948"/>
    <n v="12743"/>
    <n v="96.48"/>
    <n v="0.10177215189873418"/>
  </r>
  <r>
    <s v="2025-05-07"/>
    <x v="3"/>
    <x v="0"/>
    <x v="1"/>
    <x v="3"/>
    <s v="Phone"/>
    <x v="1"/>
    <n v="13"/>
    <n v="3640"/>
    <n v="12891"/>
    <n v="487.47"/>
    <n v="0.13392032967032969"/>
  </r>
  <r>
    <s v="2025-03-07"/>
    <x v="7"/>
    <x v="0"/>
    <x v="3"/>
    <x v="4"/>
    <s v="Laptop"/>
    <x v="1"/>
    <n v="8"/>
    <n v="4528"/>
    <n v="19421"/>
    <n v="1314.72"/>
    <n v="0.29035335689045938"/>
  </r>
  <r>
    <s v="2025-02-09"/>
    <x v="11"/>
    <x v="0"/>
    <x v="3"/>
    <x v="3"/>
    <s v="Laptop"/>
    <x v="1"/>
    <n v="17"/>
    <n v="19975"/>
    <n v="19235"/>
    <n v="3682.11"/>
    <n v="0.18433591989987486"/>
  </r>
  <r>
    <s v="2025-07-14"/>
    <x v="0"/>
    <x v="0"/>
    <x v="1"/>
    <x v="1"/>
    <s v="Desk Chair"/>
    <x v="0"/>
    <n v="11"/>
    <n v="16192"/>
    <n v="9553"/>
    <n v="4061.05"/>
    <n v="0.25080595355731228"/>
  </r>
  <r>
    <s v="2025-04-27"/>
    <x v="9"/>
    <x v="0"/>
    <x v="1"/>
    <x v="3"/>
    <s v="Phone"/>
    <x v="1"/>
    <n v="17"/>
    <n v="14824"/>
    <n v="10806"/>
    <n v="2489.0500000000002"/>
    <n v="0.16790677280086347"/>
  </r>
  <r>
    <s v="2025-12-15"/>
    <x v="8"/>
    <x v="0"/>
    <x v="0"/>
    <x v="4"/>
    <s v="Desk Chair"/>
    <x v="0"/>
    <n v="14"/>
    <n v="5054"/>
    <n v="9776"/>
    <n v="520.28"/>
    <n v="0.10294420261179263"/>
  </r>
  <r>
    <s v="2025-07-24"/>
    <x v="0"/>
    <x v="0"/>
    <x v="0"/>
    <x v="1"/>
    <s v="Laptop"/>
    <x v="1"/>
    <n v="17"/>
    <n v="13294"/>
    <n v="8633"/>
    <n v="2923.46"/>
    <n v="0.21990822927636527"/>
  </r>
  <r>
    <s v="2025-07-08"/>
    <x v="0"/>
    <x v="0"/>
    <x v="0"/>
    <x v="2"/>
    <s v="Desk Chair"/>
    <x v="0"/>
    <n v="1"/>
    <n v="128"/>
    <n v="17147"/>
    <n v="35.07"/>
    <n v="0.273984375"/>
  </r>
  <r>
    <s v="2025-04-05"/>
    <x v="9"/>
    <x v="0"/>
    <x v="1"/>
    <x v="0"/>
    <s v="Laptop"/>
    <x v="1"/>
    <n v="1"/>
    <n v="1009"/>
    <n v="18756"/>
    <n v="112.31"/>
    <n v="0.11130822596630327"/>
  </r>
  <r>
    <s v="2025-05-09"/>
    <x v="3"/>
    <x v="0"/>
    <x v="1"/>
    <x v="2"/>
    <s v="Desk Chair"/>
    <x v="0"/>
    <n v="19"/>
    <n v="14288"/>
    <n v="8914"/>
    <n v="2469.8000000000002"/>
    <n v="0.17285834266517358"/>
  </r>
  <r>
    <s v="2025-01-18"/>
    <x v="5"/>
    <x v="0"/>
    <x v="3"/>
    <x v="2"/>
    <s v="Phone"/>
    <x v="1"/>
    <n v="19"/>
    <n v="14839"/>
    <n v="12024"/>
    <n v="1701.26"/>
    <n v="0.11464788732394367"/>
  </r>
  <r>
    <s v="2025-04-25"/>
    <x v="9"/>
    <x v="0"/>
    <x v="0"/>
    <x v="4"/>
    <s v="Tablet"/>
    <x v="1"/>
    <n v="20"/>
    <n v="21580"/>
    <n v="17111"/>
    <n v="5767.45"/>
    <n v="0.2672590361445783"/>
  </r>
  <r>
    <s v="2025-07-16"/>
    <x v="0"/>
    <x v="0"/>
    <x v="2"/>
    <x v="4"/>
    <s v="Tablet"/>
    <x v="1"/>
    <n v="19"/>
    <n v="27930"/>
    <n v="18869"/>
    <n v="7973.37"/>
    <n v="0.28547690655209451"/>
  </r>
  <r>
    <s v="2025-09-26"/>
    <x v="6"/>
    <x v="0"/>
    <x v="1"/>
    <x v="4"/>
    <s v="Tablet"/>
    <x v="1"/>
    <n v="14"/>
    <n v="19362"/>
    <n v="7732"/>
    <n v="3874.56"/>
    <n v="0.20011155872327238"/>
  </r>
  <r>
    <s v="2025-09-18"/>
    <x v="6"/>
    <x v="0"/>
    <x v="1"/>
    <x v="0"/>
    <s v="Laptop"/>
    <x v="1"/>
    <n v="19"/>
    <n v="20235"/>
    <n v="16907"/>
    <n v="3328.36"/>
    <n v="0.16448529775142082"/>
  </r>
  <r>
    <s v="2025-03-01"/>
    <x v="7"/>
    <x v="0"/>
    <x v="2"/>
    <x v="4"/>
    <s v="Monitor"/>
    <x v="1"/>
    <n v="9"/>
    <n v="12519"/>
    <n v="11562"/>
    <n v="2037.97"/>
    <n v="0.16279015895838325"/>
  </r>
  <r>
    <s v="2025-06-04"/>
    <x v="4"/>
    <x v="0"/>
    <x v="2"/>
    <x v="3"/>
    <s v="Phone"/>
    <x v="1"/>
    <n v="11"/>
    <n v="12606"/>
    <n v="14649"/>
    <n v="3675"/>
    <n v="0.29152784388386482"/>
  </r>
  <r>
    <s v="2025-06-05"/>
    <x v="4"/>
    <x v="0"/>
    <x v="1"/>
    <x v="2"/>
    <s v="Desk Chair"/>
    <x v="0"/>
    <n v="20"/>
    <n v="9380"/>
    <n v="16326"/>
    <n v="2797.17"/>
    <n v="0.29820575692963752"/>
  </r>
  <r>
    <s v="2025-01-04"/>
    <x v="5"/>
    <x v="0"/>
    <x v="3"/>
    <x v="4"/>
    <s v="Laptop"/>
    <x v="1"/>
    <n v="13"/>
    <n v="16640"/>
    <n v="13977"/>
    <n v="3917.97"/>
    <n v="0.23545492788461536"/>
  </r>
  <r>
    <s v="2025-09-19"/>
    <x v="6"/>
    <x v="0"/>
    <x v="0"/>
    <x v="4"/>
    <s v="Tablet"/>
    <x v="1"/>
    <n v="14"/>
    <n v="10444"/>
    <n v="5208"/>
    <n v="2157.1799999999998"/>
    <n v="0.20654729988510148"/>
  </r>
  <r>
    <s v="2025-02-22"/>
    <x v="11"/>
    <x v="0"/>
    <x v="2"/>
    <x v="3"/>
    <s v="Tablet"/>
    <x v="1"/>
    <n v="16"/>
    <n v="9152"/>
    <n v="17881"/>
    <n v="1416.92"/>
    <n v="0.15482080419580421"/>
  </r>
  <r>
    <s v="2025-03-15"/>
    <x v="7"/>
    <x v="0"/>
    <x v="0"/>
    <x v="2"/>
    <s v="Printer"/>
    <x v="2"/>
    <n v="10"/>
    <n v="6560"/>
    <n v="13676"/>
    <n v="1217.74"/>
    <n v="0.18563109756097562"/>
  </r>
  <r>
    <s v="2025-09-15"/>
    <x v="6"/>
    <x v="0"/>
    <x v="2"/>
    <x v="0"/>
    <s v="Phone"/>
    <x v="1"/>
    <n v="9"/>
    <n v="7776"/>
    <n v="18654"/>
    <n v="952.47"/>
    <n v="0.12248842592592593"/>
  </r>
  <r>
    <s v="2025-04-20"/>
    <x v="9"/>
    <x v="0"/>
    <x v="1"/>
    <x v="4"/>
    <s v="Printer"/>
    <x v="2"/>
    <n v="9"/>
    <n v="11394"/>
    <n v="10115"/>
    <n v="1422.81"/>
    <n v="0.1248736176935229"/>
  </r>
  <r>
    <s v="2025-12-11"/>
    <x v="8"/>
    <x v="0"/>
    <x v="1"/>
    <x v="4"/>
    <s v="Desk Chair"/>
    <x v="0"/>
    <n v="19"/>
    <n v="16777"/>
    <n v="14350"/>
    <n v="3247.12"/>
    <n v="0.1935459259700780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8E07D78-F033-4F53-B0C4-0048C0CAEB24}"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D2:E7" firstHeaderRow="1" firstDataRow="1" firstDataCol="1"/>
  <pivotFields count="12">
    <pivotField showAll="0"/>
    <pivotField showAll="0">
      <items count="13">
        <item x="5"/>
        <item x="11"/>
        <item x="7"/>
        <item x="9"/>
        <item x="3"/>
        <item x="4"/>
        <item x="0"/>
        <item x="1"/>
        <item x="6"/>
        <item x="10"/>
        <item x="2"/>
        <item x="8"/>
        <item t="default"/>
      </items>
    </pivotField>
    <pivotField showAll="0"/>
    <pivotField axis="axisRow" showAll="0">
      <items count="5">
        <item x="2"/>
        <item x="0"/>
        <item x="1"/>
        <item x="3"/>
        <item t="default"/>
      </items>
    </pivotField>
    <pivotField showAll="0">
      <items count="6">
        <item x="1"/>
        <item x="4"/>
        <item x="0"/>
        <item x="2"/>
        <item x="3"/>
        <item t="default"/>
      </items>
    </pivotField>
    <pivotField showAll="0"/>
    <pivotField showAll="0">
      <items count="4">
        <item x="1"/>
        <item x="0"/>
        <item x="2"/>
        <item t="default"/>
      </items>
    </pivotField>
    <pivotField showAll="0"/>
    <pivotField dataField="1" showAll="0"/>
    <pivotField showAll="0"/>
    <pivotField showAll="0"/>
    <pivotField numFmtId="9" showAll="0"/>
  </pivotFields>
  <rowFields count="1">
    <field x="3"/>
  </rowFields>
  <rowItems count="5">
    <i>
      <x/>
    </i>
    <i>
      <x v="1"/>
    </i>
    <i>
      <x v="2"/>
    </i>
    <i>
      <x v="3"/>
    </i>
    <i t="grand">
      <x/>
    </i>
  </rowItems>
  <colItems count="1">
    <i/>
  </colItems>
  <dataFields count="1">
    <dataField name="Sum of Revenue ($)" fld="8" baseField="0" baseItem="0" numFmtId="168"/>
  </dataFields>
  <formats count="1">
    <format dxfId="0">
      <pivotArea outline="0" collapsedLevelsAreSubtotals="1" fieldPosition="0"/>
    </format>
  </formats>
  <chartFormats count="1">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922B256-550F-4847-B7AE-6116D3ACBF71}"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2:B15" firstHeaderRow="1" firstDataRow="1" firstDataCol="1"/>
  <pivotFields count="12">
    <pivotField showAll="0"/>
    <pivotField axis="axisRow" showAll="0">
      <items count="13">
        <item x="5"/>
        <item x="11"/>
        <item x="7"/>
        <item x="9"/>
        <item x="3"/>
        <item x="4"/>
        <item x="0"/>
        <item x="1"/>
        <item x="6"/>
        <item x="10"/>
        <item x="2"/>
        <item x="8"/>
        <item t="default"/>
      </items>
    </pivotField>
    <pivotField showAll="0">
      <items count="2">
        <item x="0"/>
        <item t="default"/>
      </items>
    </pivotField>
    <pivotField showAll="0">
      <items count="5">
        <item x="2"/>
        <item x="0"/>
        <item x="1"/>
        <item x="3"/>
        <item t="default"/>
      </items>
    </pivotField>
    <pivotField showAll="0">
      <items count="6">
        <item x="1"/>
        <item x="4"/>
        <item x="0"/>
        <item x="2"/>
        <item x="3"/>
        <item t="default"/>
      </items>
    </pivotField>
    <pivotField showAll="0"/>
    <pivotField showAll="0">
      <items count="4">
        <item x="1"/>
        <item x="0"/>
        <item x="2"/>
        <item t="default"/>
      </items>
    </pivotField>
    <pivotField showAll="0"/>
    <pivotField dataField="1" showAll="0"/>
    <pivotField showAll="0"/>
    <pivotField showAll="0"/>
    <pivotField numFmtId="9" showAll="0"/>
  </pivotFields>
  <rowFields count="1">
    <field x="1"/>
  </rowFields>
  <rowItems count="13">
    <i>
      <x/>
    </i>
    <i>
      <x v="1"/>
    </i>
    <i>
      <x v="2"/>
    </i>
    <i>
      <x v="3"/>
    </i>
    <i>
      <x v="4"/>
    </i>
    <i>
      <x v="5"/>
    </i>
    <i>
      <x v="6"/>
    </i>
    <i>
      <x v="7"/>
    </i>
    <i>
      <x v="8"/>
    </i>
    <i>
      <x v="9"/>
    </i>
    <i>
      <x v="10"/>
    </i>
    <i>
      <x v="11"/>
    </i>
    <i t="grand">
      <x/>
    </i>
  </rowItems>
  <colItems count="1">
    <i/>
  </colItems>
  <dataFields count="1">
    <dataField name="Sum of Revenue ($)" fld="8" baseField="0" baseItem="0" numFmtId="168"/>
  </dataFields>
  <formats count="1">
    <format dxfId="1">
      <pivotArea outline="0" collapsedLevelsAreSubtotals="1" fieldPosition="0"/>
    </format>
  </format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2A5C356-38E4-49F9-B368-AFF52673558E}"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4:B47" firstHeaderRow="1" firstDataRow="1" firstDataCol="1"/>
  <pivotFields count="12">
    <pivotField showAll="0"/>
    <pivotField axis="axisRow" showAll="0">
      <items count="13">
        <item x="5"/>
        <item x="11"/>
        <item x="7"/>
        <item x="9"/>
        <item x="3"/>
        <item x="4"/>
        <item x="0"/>
        <item x="1"/>
        <item x="6"/>
        <item x="10"/>
        <item x="2"/>
        <item x="8"/>
        <item t="default"/>
      </items>
    </pivotField>
    <pivotField showAll="0"/>
    <pivotField showAll="0">
      <items count="5">
        <item x="2"/>
        <item x="0"/>
        <item x="1"/>
        <item x="3"/>
        <item t="default"/>
      </items>
    </pivotField>
    <pivotField showAll="0">
      <items count="6">
        <item x="1"/>
        <item x="4"/>
        <item x="0"/>
        <item x="2"/>
        <item x="3"/>
        <item t="default"/>
      </items>
    </pivotField>
    <pivotField showAll="0"/>
    <pivotField showAll="0">
      <items count="4">
        <item x="1"/>
        <item x="0"/>
        <item x="2"/>
        <item t="default"/>
      </items>
    </pivotField>
    <pivotField showAll="0"/>
    <pivotField showAll="0"/>
    <pivotField showAll="0"/>
    <pivotField dataField="1" showAll="0"/>
    <pivotField numFmtId="9" showAll="0"/>
  </pivotFields>
  <rowFields count="1">
    <field x="1"/>
  </rowFields>
  <rowItems count="13">
    <i>
      <x/>
    </i>
    <i>
      <x v="1"/>
    </i>
    <i>
      <x v="2"/>
    </i>
    <i>
      <x v="3"/>
    </i>
    <i>
      <x v="4"/>
    </i>
    <i>
      <x v="5"/>
    </i>
    <i>
      <x v="6"/>
    </i>
    <i>
      <x v="7"/>
    </i>
    <i>
      <x v="8"/>
    </i>
    <i>
      <x v="9"/>
    </i>
    <i>
      <x v="10"/>
    </i>
    <i>
      <x v="11"/>
    </i>
    <i t="grand">
      <x/>
    </i>
  </rowItems>
  <colItems count="1">
    <i/>
  </colItems>
  <dataFields count="1">
    <dataField name="Sum of Profit ($)" fld="10" baseField="0" baseItem="0" numFmtId="168"/>
  </dataFields>
  <formats count="1">
    <format dxfId="2">
      <pivotArea outline="0" collapsedLevelsAreSubtotals="1" fieldPosition="0"/>
    </format>
  </formats>
  <chartFormats count="1">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E29EE85-F268-40A0-9179-4CBEB2E8CEF8}"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25:D31" firstHeaderRow="0" firstDataRow="1" firstDataCol="1"/>
  <pivotFields count="12">
    <pivotField showAll="0"/>
    <pivotField showAll="0">
      <items count="13">
        <item x="5"/>
        <item x="11"/>
        <item x="7"/>
        <item x="9"/>
        <item x="3"/>
        <item x="4"/>
        <item x="0"/>
        <item x="1"/>
        <item x="6"/>
        <item x="10"/>
        <item x="2"/>
        <item x="8"/>
        <item t="default"/>
      </items>
    </pivotField>
    <pivotField showAll="0"/>
    <pivotField showAll="0">
      <items count="5">
        <item x="2"/>
        <item x="0"/>
        <item x="1"/>
        <item x="3"/>
        <item t="default"/>
      </items>
    </pivotField>
    <pivotField axis="axisRow" showAll="0">
      <items count="6">
        <item x="1"/>
        <item x="4"/>
        <item x="0"/>
        <item x="2"/>
        <item x="3"/>
        <item t="default"/>
      </items>
    </pivotField>
    <pivotField showAll="0"/>
    <pivotField showAll="0">
      <items count="4">
        <item x="1"/>
        <item x="0"/>
        <item x="2"/>
        <item t="default"/>
      </items>
    </pivotField>
    <pivotField showAll="0"/>
    <pivotField dataField="1" showAll="0"/>
    <pivotField dataField="1" showAll="0"/>
    <pivotField dataField="1" showAll="0"/>
    <pivotField numFmtId="9" showAll="0"/>
  </pivotFields>
  <rowFields count="1">
    <field x="4"/>
  </rowFields>
  <rowItems count="6">
    <i>
      <x/>
    </i>
    <i>
      <x v="1"/>
    </i>
    <i>
      <x v="2"/>
    </i>
    <i>
      <x v="3"/>
    </i>
    <i>
      <x v="4"/>
    </i>
    <i t="grand">
      <x/>
    </i>
  </rowItems>
  <colFields count="1">
    <field x="-2"/>
  </colFields>
  <colItems count="3">
    <i>
      <x/>
    </i>
    <i i="1">
      <x v="1"/>
    </i>
    <i i="2">
      <x v="2"/>
    </i>
  </colItems>
  <dataFields count="3">
    <dataField name="Sum of Revenue ($)" fld="8" baseField="0" baseItem="0"/>
    <dataField name="Sum of Target ($)" fld="9" baseField="0" baseItem="0"/>
    <dataField name="Sum of Profit ($)" fld="10" baseField="0" baseItem="0"/>
  </dataFields>
  <formats count="1">
    <format dxfId="3">
      <pivotArea outline="0" collapsedLevelsAreSubtotals="1" fieldPosition="0"/>
    </format>
  </formats>
  <chartFormats count="3">
    <chartFormat chart="11" format="6" series="1">
      <pivotArea type="data" outline="0" fieldPosition="0">
        <references count="1">
          <reference field="4294967294" count="1" selected="0">
            <x v="0"/>
          </reference>
        </references>
      </pivotArea>
    </chartFormat>
    <chartFormat chart="11" format="7" series="1">
      <pivotArea type="data" outline="0" fieldPosition="0">
        <references count="1">
          <reference field="4294967294" count="1" selected="0">
            <x v="1"/>
          </reference>
        </references>
      </pivotArea>
    </chartFormat>
    <chartFormat chart="11"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86AE3C8-A675-4814-84D0-C8AF96071C94}"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5">
  <location ref="A18:B22" firstHeaderRow="1" firstDataRow="1" firstDataCol="1"/>
  <pivotFields count="12">
    <pivotField showAll="0"/>
    <pivotField showAll="0">
      <items count="13">
        <item x="5"/>
        <item x="11"/>
        <item x="7"/>
        <item x="9"/>
        <item x="3"/>
        <item x="4"/>
        <item x="0"/>
        <item x="1"/>
        <item x="6"/>
        <item x="10"/>
        <item x="2"/>
        <item x="8"/>
        <item t="default"/>
      </items>
    </pivotField>
    <pivotField showAll="0"/>
    <pivotField showAll="0">
      <items count="5">
        <item x="2"/>
        <item x="0"/>
        <item x="1"/>
        <item x="3"/>
        <item t="default"/>
      </items>
    </pivotField>
    <pivotField showAll="0">
      <items count="6">
        <item x="1"/>
        <item x="4"/>
        <item x="0"/>
        <item x="2"/>
        <item x="3"/>
        <item t="default"/>
      </items>
    </pivotField>
    <pivotField showAll="0"/>
    <pivotField axis="axisRow" showAll="0">
      <items count="4">
        <item x="1"/>
        <item x="0"/>
        <item x="2"/>
        <item t="default"/>
      </items>
    </pivotField>
    <pivotField showAll="0"/>
    <pivotField dataField="1" showAll="0"/>
    <pivotField showAll="0"/>
    <pivotField showAll="0"/>
    <pivotField numFmtId="9" showAll="0"/>
  </pivotFields>
  <rowFields count="1">
    <field x="6"/>
  </rowFields>
  <rowItems count="4">
    <i>
      <x/>
    </i>
    <i>
      <x v="1"/>
    </i>
    <i>
      <x v="2"/>
    </i>
    <i t="grand">
      <x/>
    </i>
  </rowItems>
  <colItems count="1">
    <i/>
  </colItems>
  <dataFields count="1">
    <dataField name="Sum of Revenue ($)" fld="8" baseField="0" baseItem="0" numFmtId="168"/>
  </dataFields>
  <formats count="2">
    <format dxfId="5">
      <pivotArea outline="0" collapsedLevelsAreSubtotals="1" fieldPosition="0"/>
    </format>
    <format dxfId="4">
      <pivotArea dataOnly="0" labelOnly="1" outline="0" axis="axisValues" fieldPosition="0"/>
    </format>
  </formats>
  <chartFormats count="4">
    <chartFormat chart="30" format="5" series="1">
      <pivotArea type="data" outline="0" fieldPosition="0">
        <references count="1">
          <reference field="4294967294" count="1" selected="0">
            <x v="0"/>
          </reference>
        </references>
      </pivotArea>
    </chartFormat>
    <chartFormat chart="30" format="6">
      <pivotArea type="data" outline="0" fieldPosition="0">
        <references count="2">
          <reference field="4294967294" count="1" selected="0">
            <x v="0"/>
          </reference>
          <reference field="6" count="1" selected="0">
            <x v="0"/>
          </reference>
        </references>
      </pivotArea>
    </chartFormat>
    <chartFormat chart="30" format="7">
      <pivotArea type="data" outline="0" fieldPosition="0">
        <references count="2">
          <reference field="4294967294" count="1" selected="0">
            <x v="0"/>
          </reference>
          <reference field="6" count="1" selected="0">
            <x v="1"/>
          </reference>
        </references>
      </pivotArea>
    </chartFormat>
    <chartFormat chart="30" format="8">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6A165FD-5806-4857-9B80-CD1BE8AE6F18}" sourceName="Region">
  <pivotTables>
    <pivotTable tabId="3" name="PivotTable3"/>
    <pivotTable tabId="3" name="PivotTable4"/>
    <pivotTable tabId="3" name="PivotTable5"/>
    <pivotTable tabId="3" name="PivotTable6"/>
    <pivotTable tabId="3" name="PivotTable7"/>
  </pivotTables>
  <data>
    <tabular pivotCacheId="1617151550">
      <items count="4">
        <i x="2" s="1"/>
        <i x="0"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 xr10:uid="{D284B4BC-AF24-43C6-9494-CA45C003F456}" sourceName="Salesperson">
  <pivotTables>
    <pivotTable tabId="3" name="PivotTable3"/>
    <pivotTable tabId="3" name="PivotTable4"/>
    <pivotTable tabId="3" name="PivotTable5"/>
    <pivotTable tabId="3" name="PivotTable6"/>
    <pivotTable tabId="3" name="PivotTable7"/>
  </pivotTables>
  <data>
    <tabular pivotCacheId="1617151550">
      <items count="5">
        <i x="1" s="1"/>
        <i x="4" s="1"/>
        <i x="0" s="1"/>
        <i x="2"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5682BE02-DF07-4DAE-BF36-692CF334EE65}" sourceName="Category">
  <pivotTables>
    <pivotTable tabId="3" name="PivotTable3"/>
    <pivotTable tabId="3" name="PivotTable4"/>
    <pivotTable tabId="3" name="PivotTable5"/>
    <pivotTable tabId="3" name="PivotTable6"/>
    <pivotTable tabId="3" name="PivotTable7"/>
  </pivotTables>
  <data>
    <tabular pivotCacheId="1617151550">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20D53E76-9E89-4FCF-A0A6-1FC0C887A761}" cache="Slicer_Region" caption="Region" startItem="1" rowHeight="234950"/>
  <slicer name="Salesperson" xr10:uid="{DFC68BA7-7D35-4639-A934-319F6BEA0C89}" cache="Slicer_Salesperson" caption="Salesperson" rowHeight="234950"/>
  <slicer name="Category" xr10:uid="{E79C62C0-2CC6-4356-B7A4-68408BB6BFA3}" cache="Slicer_Category" caption="Category"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0AD12C-B527-492D-9A62-A8F626ABDB0D}">
  <dimension ref="A2:E47"/>
  <sheetViews>
    <sheetView workbookViewId="0">
      <selection activeCell="B6" sqref="B6"/>
    </sheetView>
  </sheetViews>
  <sheetFormatPr defaultRowHeight="14.4" x14ac:dyDescent="0.3"/>
  <cols>
    <col min="1" max="1" width="12.5546875" bestFit="1" customWidth="1"/>
    <col min="2" max="2" width="15" bestFit="1" customWidth="1"/>
    <col min="3" max="3" width="15.6640625" bestFit="1" customWidth="1"/>
    <col min="4" max="4" width="15" bestFit="1" customWidth="1"/>
    <col min="5" max="5" width="17.77734375" bestFit="1" customWidth="1"/>
  </cols>
  <sheetData>
    <row r="2" spans="1:5" x14ac:dyDescent="0.3">
      <c r="A2" s="6" t="s">
        <v>397</v>
      </c>
      <c r="B2" t="s">
        <v>399</v>
      </c>
      <c r="D2" s="6" t="s">
        <v>397</v>
      </c>
      <c r="E2" t="s">
        <v>399</v>
      </c>
    </row>
    <row r="3" spans="1:5" x14ac:dyDescent="0.3">
      <c r="A3" s="7" t="s">
        <v>37</v>
      </c>
      <c r="B3" s="12">
        <v>686026</v>
      </c>
      <c r="D3" s="7" t="s">
        <v>23</v>
      </c>
      <c r="E3" s="12">
        <v>2068876</v>
      </c>
    </row>
    <row r="4" spans="1:5" x14ac:dyDescent="0.3">
      <c r="A4" s="7" t="s">
        <v>85</v>
      </c>
      <c r="B4" s="12">
        <v>620186</v>
      </c>
      <c r="D4" s="7" t="s">
        <v>13</v>
      </c>
      <c r="E4" s="12">
        <v>1920727</v>
      </c>
    </row>
    <row r="5" spans="1:5" x14ac:dyDescent="0.3">
      <c r="A5" s="7" t="s">
        <v>41</v>
      </c>
      <c r="B5" s="12">
        <v>658327</v>
      </c>
      <c r="D5" s="7" t="s">
        <v>18</v>
      </c>
      <c r="E5" s="12">
        <v>2145730</v>
      </c>
    </row>
    <row r="6" spans="1:5" x14ac:dyDescent="0.3">
      <c r="A6" s="7" t="s">
        <v>48</v>
      </c>
      <c r="B6" s="12">
        <v>722754</v>
      </c>
      <c r="D6" s="7" t="s">
        <v>32</v>
      </c>
      <c r="E6" s="12">
        <v>2221261</v>
      </c>
    </row>
    <row r="7" spans="1:5" x14ac:dyDescent="0.3">
      <c r="A7" s="7" t="s">
        <v>31</v>
      </c>
      <c r="B7" s="12">
        <v>711550</v>
      </c>
      <c r="D7" s="7" t="s">
        <v>398</v>
      </c>
      <c r="E7" s="12">
        <v>8356594</v>
      </c>
    </row>
    <row r="8" spans="1:5" x14ac:dyDescent="0.3">
      <c r="A8" s="7" t="s">
        <v>34</v>
      </c>
      <c r="B8" s="12">
        <v>584987</v>
      </c>
    </row>
    <row r="9" spans="1:5" x14ac:dyDescent="0.3">
      <c r="A9" s="7" t="s">
        <v>12</v>
      </c>
      <c r="B9" s="12">
        <v>702348</v>
      </c>
    </row>
    <row r="10" spans="1:5" x14ac:dyDescent="0.3">
      <c r="A10" s="7" t="s">
        <v>22</v>
      </c>
      <c r="B10" s="12">
        <v>740687</v>
      </c>
    </row>
    <row r="11" spans="1:5" x14ac:dyDescent="0.3">
      <c r="A11" s="7" t="s">
        <v>39</v>
      </c>
      <c r="B11" s="12">
        <v>796124</v>
      </c>
    </row>
    <row r="12" spans="1:5" x14ac:dyDescent="0.3">
      <c r="A12" s="7" t="s">
        <v>57</v>
      </c>
      <c r="B12" s="12">
        <v>825182</v>
      </c>
    </row>
    <row r="13" spans="1:5" x14ac:dyDescent="0.3">
      <c r="A13" s="7" t="s">
        <v>25</v>
      </c>
      <c r="B13" s="12">
        <v>652889</v>
      </c>
    </row>
    <row r="14" spans="1:5" x14ac:dyDescent="0.3">
      <c r="A14" s="7" t="s">
        <v>45</v>
      </c>
      <c r="B14" s="12">
        <v>655534</v>
      </c>
    </row>
    <row r="15" spans="1:5" x14ac:dyDescent="0.3">
      <c r="A15" s="7" t="s">
        <v>398</v>
      </c>
      <c r="B15" s="12">
        <v>8356594</v>
      </c>
    </row>
    <row r="18" spans="1:4" x14ac:dyDescent="0.3">
      <c r="A18" s="6" t="s">
        <v>397</v>
      </c>
      <c r="B18" s="12" t="s">
        <v>399</v>
      </c>
    </row>
    <row r="19" spans="1:4" x14ac:dyDescent="0.3">
      <c r="A19" s="7" t="s">
        <v>20</v>
      </c>
      <c r="B19" s="12">
        <v>5526312</v>
      </c>
    </row>
    <row r="20" spans="1:4" x14ac:dyDescent="0.3">
      <c r="A20" s="7" t="s">
        <v>16</v>
      </c>
      <c r="B20" s="12">
        <v>1469606</v>
      </c>
    </row>
    <row r="21" spans="1:4" x14ac:dyDescent="0.3">
      <c r="A21" s="7" t="s">
        <v>63</v>
      </c>
      <c r="B21" s="12">
        <v>1360676</v>
      </c>
    </row>
    <row r="22" spans="1:4" x14ac:dyDescent="0.3">
      <c r="A22" s="7" t="s">
        <v>398</v>
      </c>
      <c r="B22" s="12">
        <v>8356594</v>
      </c>
    </row>
    <row r="25" spans="1:4" x14ac:dyDescent="0.3">
      <c r="A25" s="6" t="s">
        <v>397</v>
      </c>
      <c r="B25" t="s">
        <v>399</v>
      </c>
      <c r="C25" t="s">
        <v>401</v>
      </c>
      <c r="D25" t="s">
        <v>400</v>
      </c>
    </row>
    <row r="26" spans="1:4" x14ac:dyDescent="0.3">
      <c r="A26" s="7" t="s">
        <v>26</v>
      </c>
      <c r="B26" s="12">
        <v>1780823</v>
      </c>
      <c r="C26" s="12">
        <v>2613681</v>
      </c>
      <c r="D26" s="12">
        <v>344318.74999999983</v>
      </c>
    </row>
    <row r="27" spans="1:4" x14ac:dyDescent="0.3">
      <c r="A27" s="7" t="s">
        <v>60</v>
      </c>
      <c r="B27" s="12">
        <v>1675117</v>
      </c>
      <c r="C27" s="12">
        <v>2467171</v>
      </c>
      <c r="D27" s="12">
        <v>342537.71</v>
      </c>
    </row>
    <row r="28" spans="1:4" x14ac:dyDescent="0.3">
      <c r="A28" s="7" t="s">
        <v>14</v>
      </c>
      <c r="B28" s="12">
        <v>1481497</v>
      </c>
      <c r="C28" s="12">
        <v>2249648</v>
      </c>
      <c r="D28" s="12">
        <v>300462.51000000007</v>
      </c>
    </row>
    <row r="29" spans="1:4" x14ac:dyDescent="0.3">
      <c r="A29" s="7" t="s">
        <v>28</v>
      </c>
      <c r="B29" s="12">
        <v>1669548</v>
      </c>
      <c r="C29" s="12">
        <v>2469090</v>
      </c>
      <c r="D29" s="12">
        <v>343497.41</v>
      </c>
    </row>
    <row r="30" spans="1:4" x14ac:dyDescent="0.3">
      <c r="A30" s="7" t="s">
        <v>49</v>
      </c>
      <c r="B30" s="12">
        <v>1749609</v>
      </c>
      <c r="C30" s="12">
        <v>2766916</v>
      </c>
      <c r="D30" s="12">
        <v>341254.95999999979</v>
      </c>
    </row>
    <row r="31" spans="1:4" x14ac:dyDescent="0.3">
      <c r="A31" s="7" t="s">
        <v>398</v>
      </c>
      <c r="B31" s="12">
        <v>8356594</v>
      </c>
      <c r="C31" s="12">
        <v>12566506</v>
      </c>
      <c r="D31" s="12">
        <v>1672071.3399999996</v>
      </c>
    </row>
    <row r="34" spans="1:2" x14ac:dyDescent="0.3">
      <c r="A34" s="6" t="s">
        <v>397</v>
      </c>
      <c r="B34" t="s">
        <v>400</v>
      </c>
    </row>
    <row r="35" spans="1:2" x14ac:dyDescent="0.3">
      <c r="A35" s="7" t="s">
        <v>37</v>
      </c>
      <c r="B35" s="12">
        <v>132869.37999999992</v>
      </c>
    </row>
    <row r="36" spans="1:2" x14ac:dyDescent="0.3">
      <c r="A36" s="7" t="s">
        <v>85</v>
      </c>
      <c r="B36" s="12">
        <v>128737.07999999996</v>
      </c>
    </row>
    <row r="37" spans="1:2" x14ac:dyDescent="0.3">
      <c r="A37" s="7" t="s">
        <v>41</v>
      </c>
      <c r="B37" s="12">
        <v>125595.58000000007</v>
      </c>
    </row>
    <row r="38" spans="1:2" x14ac:dyDescent="0.3">
      <c r="A38" s="7" t="s">
        <v>48</v>
      </c>
      <c r="B38" s="12">
        <v>144327.70000000001</v>
      </c>
    </row>
    <row r="39" spans="1:2" x14ac:dyDescent="0.3">
      <c r="A39" s="7" t="s">
        <v>31</v>
      </c>
      <c r="B39" s="12">
        <v>156635.37999999998</v>
      </c>
    </row>
    <row r="40" spans="1:2" x14ac:dyDescent="0.3">
      <c r="A40" s="7" t="s">
        <v>34</v>
      </c>
      <c r="B40" s="12">
        <v>127647.16000000002</v>
      </c>
    </row>
    <row r="41" spans="1:2" x14ac:dyDescent="0.3">
      <c r="A41" s="7" t="s">
        <v>12</v>
      </c>
      <c r="B41" s="12">
        <v>140603.94</v>
      </c>
    </row>
    <row r="42" spans="1:2" x14ac:dyDescent="0.3">
      <c r="A42" s="7" t="s">
        <v>22</v>
      </c>
      <c r="B42" s="12">
        <v>147574.27999999997</v>
      </c>
    </row>
    <row r="43" spans="1:2" x14ac:dyDescent="0.3">
      <c r="A43" s="7" t="s">
        <v>39</v>
      </c>
      <c r="B43" s="12">
        <v>149449.99999999991</v>
      </c>
    </row>
    <row r="44" spans="1:2" x14ac:dyDescent="0.3">
      <c r="A44" s="7" t="s">
        <v>57</v>
      </c>
      <c r="B44" s="12">
        <v>155110.62999999998</v>
      </c>
    </row>
    <row r="45" spans="1:2" x14ac:dyDescent="0.3">
      <c r="A45" s="7" t="s">
        <v>25</v>
      </c>
      <c r="B45" s="12">
        <v>132322.85999999996</v>
      </c>
    </row>
    <row r="46" spans="1:2" x14ac:dyDescent="0.3">
      <c r="A46" s="7" t="s">
        <v>45</v>
      </c>
      <c r="B46" s="12">
        <v>131197.34999999998</v>
      </c>
    </row>
    <row r="47" spans="1:2" x14ac:dyDescent="0.3">
      <c r="A47" s="7" t="s">
        <v>398</v>
      </c>
      <c r="B47" s="12">
        <v>1672071.3399999999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A5C6B6-F977-44CB-A472-C4F15281E702}">
  <dimension ref="A1"/>
  <sheetViews>
    <sheetView topLeftCell="B1" workbookViewId="0">
      <selection activeCell="D1" sqref="D1:D1048576"/>
    </sheetView>
  </sheetViews>
  <sheetFormatPr defaultRowHeight="14.4" x14ac:dyDescent="0.3"/>
  <cols>
    <col min="1" max="1" width="2.77734375" customWidth="1"/>
    <col min="2" max="2" width="15.21875" customWidth="1"/>
    <col min="3" max="3" width="4" customWidth="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02"/>
  <sheetViews>
    <sheetView workbookViewId="0">
      <selection activeCell="N8" sqref="N8"/>
    </sheetView>
  </sheetViews>
  <sheetFormatPr defaultRowHeight="14.4" x14ac:dyDescent="0.3"/>
  <cols>
    <col min="1" max="1" width="10.6640625" style="5" customWidth="1"/>
    <col min="2" max="2" width="10.6640625" customWidth="1"/>
    <col min="5" max="5" width="10.88671875" customWidth="1"/>
    <col min="6" max="6" width="11.21875" customWidth="1"/>
    <col min="7" max="7" width="10.21875" customWidth="1"/>
    <col min="12" max="12" width="13.88671875" customWidth="1"/>
    <col min="14" max="14" width="27.5546875" style="8" customWidth="1"/>
  </cols>
  <sheetData>
    <row r="1" spans="1:14" x14ac:dyDescent="0.3">
      <c r="A1" s="4" t="s">
        <v>0</v>
      </c>
      <c r="B1" s="1" t="s">
        <v>1</v>
      </c>
      <c r="C1" s="1" t="s">
        <v>2</v>
      </c>
      <c r="D1" s="1" t="s">
        <v>3</v>
      </c>
      <c r="E1" s="1" t="s">
        <v>4</v>
      </c>
      <c r="F1" s="1" t="s">
        <v>5</v>
      </c>
      <c r="G1" s="1" t="s">
        <v>6</v>
      </c>
      <c r="H1" s="1" t="s">
        <v>7</v>
      </c>
      <c r="I1" s="1" t="s">
        <v>8</v>
      </c>
      <c r="J1" s="1" t="s">
        <v>9</v>
      </c>
      <c r="K1" s="1" t="s">
        <v>10</v>
      </c>
      <c r="L1" s="2" t="s">
        <v>396</v>
      </c>
    </row>
    <row r="2" spans="1:14" x14ac:dyDescent="0.3">
      <c r="A2" s="5" t="s">
        <v>11</v>
      </c>
      <c r="B2" t="s">
        <v>12</v>
      </c>
      <c r="C2">
        <v>2025</v>
      </c>
      <c r="D2" t="s">
        <v>13</v>
      </c>
      <c r="E2" t="s">
        <v>14</v>
      </c>
      <c r="F2" t="s">
        <v>15</v>
      </c>
      <c r="G2" t="s">
        <v>16</v>
      </c>
      <c r="H2">
        <v>18</v>
      </c>
      <c r="I2">
        <v>25218</v>
      </c>
      <c r="J2">
        <v>5113</v>
      </c>
      <c r="K2">
        <v>2975.57</v>
      </c>
      <c r="L2" s="3">
        <f>K2/I2</f>
        <v>0.11799389325085258</v>
      </c>
    </row>
    <row r="3" spans="1:14" x14ac:dyDescent="0.3">
      <c r="A3" s="5" t="s">
        <v>17</v>
      </c>
      <c r="B3" t="s">
        <v>12</v>
      </c>
      <c r="C3">
        <v>2025</v>
      </c>
      <c r="D3" t="s">
        <v>18</v>
      </c>
      <c r="E3" t="s">
        <v>14</v>
      </c>
      <c r="F3" t="s">
        <v>19</v>
      </c>
      <c r="G3" t="s">
        <v>20</v>
      </c>
      <c r="H3">
        <v>10</v>
      </c>
      <c r="I3">
        <v>14050</v>
      </c>
      <c r="J3">
        <v>14488</v>
      </c>
      <c r="K3">
        <v>3766.29</v>
      </c>
      <c r="L3" s="3">
        <f t="shared" ref="L3:L66" si="0">K3/I3</f>
        <v>0.26806334519572955</v>
      </c>
      <c r="N3" s="8" t="s">
        <v>402</v>
      </c>
    </row>
    <row r="4" spans="1:14" x14ac:dyDescent="0.3">
      <c r="A4" s="5" t="s">
        <v>21</v>
      </c>
      <c r="B4" t="s">
        <v>22</v>
      </c>
      <c r="C4">
        <v>2025</v>
      </c>
      <c r="D4" t="s">
        <v>23</v>
      </c>
      <c r="E4" t="s">
        <v>14</v>
      </c>
      <c r="F4" t="s">
        <v>15</v>
      </c>
      <c r="G4" t="s">
        <v>16</v>
      </c>
      <c r="H4">
        <v>5</v>
      </c>
      <c r="I4">
        <v>4325</v>
      </c>
      <c r="J4">
        <v>11136</v>
      </c>
      <c r="K4">
        <v>901.78</v>
      </c>
      <c r="L4" s="3">
        <f t="shared" si="0"/>
        <v>0.20850404624277455</v>
      </c>
      <c r="N4" s="9">
        <f>SUM(I:I)</f>
        <v>8356594</v>
      </c>
    </row>
    <row r="5" spans="1:14" x14ac:dyDescent="0.3">
      <c r="A5" s="5" t="s">
        <v>24</v>
      </c>
      <c r="B5" t="s">
        <v>25</v>
      </c>
      <c r="C5">
        <v>2025</v>
      </c>
      <c r="D5" t="s">
        <v>18</v>
      </c>
      <c r="E5" t="s">
        <v>26</v>
      </c>
      <c r="F5" t="s">
        <v>15</v>
      </c>
      <c r="G5" t="s">
        <v>16</v>
      </c>
      <c r="H5">
        <v>10</v>
      </c>
      <c r="I5">
        <v>3560</v>
      </c>
      <c r="J5">
        <v>8519</v>
      </c>
      <c r="K5">
        <v>1011.11</v>
      </c>
      <c r="L5" s="3">
        <f t="shared" si="0"/>
        <v>0.28401966292134834</v>
      </c>
    </row>
    <row r="6" spans="1:14" x14ac:dyDescent="0.3">
      <c r="A6" s="5" t="s">
        <v>27</v>
      </c>
      <c r="B6" t="s">
        <v>22</v>
      </c>
      <c r="C6">
        <v>2025</v>
      </c>
      <c r="D6" t="s">
        <v>23</v>
      </c>
      <c r="E6" t="s">
        <v>28</v>
      </c>
      <c r="F6" t="s">
        <v>29</v>
      </c>
      <c r="G6" t="s">
        <v>20</v>
      </c>
      <c r="H6">
        <v>12</v>
      </c>
      <c r="I6">
        <v>3876</v>
      </c>
      <c r="J6">
        <v>19306</v>
      </c>
      <c r="K6">
        <v>737.86</v>
      </c>
      <c r="L6" s="3">
        <f t="shared" si="0"/>
        <v>0.19036635706914345</v>
      </c>
    </row>
    <row r="7" spans="1:14" x14ac:dyDescent="0.3">
      <c r="A7" s="5" t="s">
        <v>30</v>
      </c>
      <c r="B7" t="s">
        <v>31</v>
      </c>
      <c r="C7">
        <v>2025</v>
      </c>
      <c r="D7" t="s">
        <v>32</v>
      </c>
      <c r="E7" t="s">
        <v>14</v>
      </c>
      <c r="F7" t="s">
        <v>15</v>
      </c>
      <c r="G7" t="s">
        <v>16</v>
      </c>
      <c r="H7">
        <v>4</v>
      </c>
      <c r="I7">
        <v>4372</v>
      </c>
      <c r="J7">
        <v>17632</v>
      </c>
      <c r="K7">
        <v>1014.89</v>
      </c>
      <c r="L7" s="3">
        <f t="shared" si="0"/>
        <v>0.23213403476669717</v>
      </c>
      <c r="N7" s="8" t="s">
        <v>403</v>
      </c>
    </row>
    <row r="8" spans="1:14" x14ac:dyDescent="0.3">
      <c r="A8" s="5" t="s">
        <v>33</v>
      </c>
      <c r="B8" t="s">
        <v>34</v>
      </c>
      <c r="C8">
        <v>2025</v>
      </c>
      <c r="D8" t="s">
        <v>23</v>
      </c>
      <c r="E8" t="s">
        <v>14</v>
      </c>
      <c r="F8" t="s">
        <v>35</v>
      </c>
      <c r="G8" t="s">
        <v>20</v>
      </c>
      <c r="H8">
        <v>15</v>
      </c>
      <c r="I8">
        <v>16605</v>
      </c>
      <c r="J8">
        <v>8873</v>
      </c>
      <c r="K8">
        <v>2512.56</v>
      </c>
      <c r="L8" s="3">
        <f t="shared" si="0"/>
        <v>0.15131345980126468</v>
      </c>
      <c r="N8" s="9">
        <f>SUM(K:K)</f>
        <v>1672071.3400000005</v>
      </c>
    </row>
    <row r="9" spans="1:14" x14ac:dyDescent="0.3">
      <c r="A9" s="5" t="s">
        <v>36</v>
      </c>
      <c r="B9" t="s">
        <v>37</v>
      </c>
      <c r="C9">
        <v>2025</v>
      </c>
      <c r="D9" t="s">
        <v>32</v>
      </c>
      <c r="E9" t="s">
        <v>14</v>
      </c>
      <c r="F9" t="s">
        <v>35</v>
      </c>
      <c r="G9" t="s">
        <v>20</v>
      </c>
      <c r="H9">
        <v>5</v>
      </c>
      <c r="I9">
        <v>3220</v>
      </c>
      <c r="J9">
        <v>16215</v>
      </c>
      <c r="K9">
        <v>334.14</v>
      </c>
      <c r="L9" s="3">
        <f t="shared" si="0"/>
        <v>0.10377018633540372</v>
      </c>
    </row>
    <row r="10" spans="1:14" x14ac:dyDescent="0.3">
      <c r="A10" s="5" t="s">
        <v>38</v>
      </c>
      <c r="B10" t="s">
        <v>39</v>
      </c>
      <c r="C10">
        <v>2025</v>
      </c>
      <c r="D10" t="s">
        <v>13</v>
      </c>
      <c r="E10" t="s">
        <v>26</v>
      </c>
      <c r="F10" t="s">
        <v>15</v>
      </c>
      <c r="G10" t="s">
        <v>16</v>
      </c>
      <c r="H10">
        <v>18</v>
      </c>
      <c r="I10">
        <v>23004</v>
      </c>
      <c r="J10">
        <v>9784</v>
      </c>
      <c r="K10">
        <v>2854.07</v>
      </c>
      <c r="L10" s="3">
        <f t="shared" si="0"/>
        <v>0.12406842288297688</v>
      </c>
      <c r="N10" s="8" t="s">
        <v>404</v>
      </c>
    </row>
    <row r="11" spans="1:14" x14ac:dyDescent="0.3">
      <c r="A11" s="5" t="s">
        <v>40</v>
      </c>
      <c r="B11" t="s">
        <v>41</v>
      </c>
      <c r="C11">
        <v>2025</v>
      </c>
      <c r="D11" t="s">
        <v>18</v>
      </c>
      <c r="E11" t="s">
        <v>26</v>
      </c>
      <c r="F11" t="s">
        <v>42</v>
      </c>
      <c r="G11" t="s">
        <v>20</v>
      </c>
      <c r="H11">
        <v>1</v>
      </c>
      <c r="I11">
        <v>518</v>
      </c>
      <c r="J11">
        <v>16791</v>
      </c>
      <c r="K11">
        <v>137.86000000000001</v>
      </c>
      <c r="L11" s="3">
        <f t="shared" si="0"/>
        <v>0.26613899613899616</v>
      </c>
      <c r="N11" s="9">
        <f>SUM(J:J)</f>
        <v>12566506</v>
      </c>
    </row>
    <row r="12" spans="1:14" x14ac:dyDescent="0.3">
      <c r="A12" s="5" t="s">
        <v>43</v>
      </c>
      <c r="B12" t="s">
        <v>25</v>
      </c>
      <c r="C12">
        <v>2025</v>
      </c>
      <c r="D12" t="s">
        <v>13</v>
      </c>
      <c r="E12" t="s">
        <v>14</v>
      </c>
      <c r="F12" t="s">
        <v>35</v>
      </c>
      <c r="G12" t="s">
        <v>20</v>
      </c>
      <c r="H12">
        <v>3</v>
      </c>
      <c r="I12">
        <v>573</v>
      </c>
      <c r="J12">
        <v>14010</v>
      </c>
      <c r="K12">
        <v>74.03</v>
      </c>
      <c r="L12" s="3">
        <f t="shared" si="0"/>
        <v>0.12919720767888307</v>
      </c>
    </row>
    <row r="13" spans="1:14" x14ac:dyDescent="0.3">
      <c r="A13" s="5" t="s">
        <v>44</v>
      </c>
      <c r="B13" t="s">
        <v>45</v>
      </c>
      <c r="C13">
        <v>2025</v>
      </c>
      <c r="D13" t="s">
        <v>32</v>
      </c>
      <c r="E13" t="s">
        <v>26</v>
      </c>
      <c r="F13" t="s">
        <v>19</v>
      </c>
      <c r="G13" t="s">
        <v>20</v>
      </c>
      <c r="H13">
        <v>3</v>
      </c>
      <c r="I13">
        <v>2490</v>
      </c>
      <c r="J13">
        <v>17357</v>
      </c>
      <c r="K13">
        <v>397.6</v>
      </c>
      <c r="L13" s="3">
        <f t="shared" si="0"/>
        <v>0.15967871485943777</v>
      </c>
      <c r="N13" s="8" t="s">
        <v>405</v>
      </c>
    </row>
    <row r="14" spans="1:14" x14ac:dyDescent="0.3">
      <c r="A14" s="5" t="s">
        <v>46</v>
      </c>
      <c r="B14" t="s">
        <v>39</v>
      </c>
      <c r="C14">
        <v>2025</v>
      </c>
      <c r="D14" t="s">
        <v>32</v>
      </c>
      <c r="E14" t="s">
        <v>14</v>
      </c>
      <c r="F14" t="s">
        <v>35</v>
      </c>
      <c r="G14" t="s">
        <v>20</v>
      </c>
      <c r="H14">
        <v>14</v>
      </c>
      <c r="I14">
        <v>5488</v>
      </c>
      <c r="J14">
        <v>19630</v>
      </c>
      <c r="K14">
        <v>1042.45</v>
      </c>
      <c r="L14" s="3">
        <f t="shared" si="0"/>
        <v>0.18995080174927115</v>
      </c>
      <c r="N14" s="10">
        <f>N4/N11</f>
        <v>0.6649894568943826</v>
      </c>
    </row>
    <row r="15" spans="1:14" x14ac:dyDescent="0.3">
      <c r="A15" s="5" t="s">
        <v>47</v>
      </c>
      <c r="B15" t="s">
        <v>48</v>
      </c>
      <c r="C15">
        <v>2025</v>
      </c>
      <c r="D15" t="s">
        <v>23</v>
      </c>
      <c r="E15" t="s">
        <v>49</v>
      </c>
      <c r="F15" t="s">
        <v>19</v>
      </c>
      <c r="G15" t="s">
        <v>20</v>
      </c>
      <c r="H15">
        <v>8</v>
      </c>
      <c r="I15">
        <v>2104</v>
      </c>
      <c r="J15">
        <v>16737</v>
      </c>
      <c r="K15">
        <v>338.81</v>
      </c>
      <c r="L15" s="3">
        <f t="shared" si="0"/>
        <v>0.16103136882129276</v>
      </c>
    </row>
    <row r="16" spans="1:14" x14ac:dyDescent="0.3">
      <c r="A16" s="5" t="s">
        <v>50</v>
      </c>
      <c r="B16" t="s">
        <v>25</v>
      </c>
      <c r="C16">
        <v>2025</v>
      </c>
      <c r="D16" t="s">
        <v>23</v>
      </c>
      <c r="E16" t="s">
        <v>14</v>
      </c>
      <c r="F16" t="s">
        <v>29</v>
      </c>
      <c r="G16" t="s">
        <v>20</v>
      </c>
      <c r="H16">
        <v>7</v>
      </c>
      <c r="I16">
        <v>10374</v>
      </c>
      <c r="J16">
        <v>10226</v>
      </c>
      <c r="K16">
        <v>2871.24</v>
      </c>
      <c r="L16" s="3">
        <f t="shared" si="0"/>
        <v>0.27677270098322726</v>
      </c>
      <c r="N16" s="8" t="s">
        <v>406</v>
      </c>
    </row>
    <row r="17" spans="1:14" x14ac:dyDescent="0.3">
      <c r="A17" s="5" t="s">
        <v>51</v>
      </c>
      <c r="B17" t="s">
        <v>41</v>
      </c>
      <c r="C17">
        <v>2025</v>
      </c>
      <c r="D17" t="s">
        <v>18</v>
      </c>
      <c r="E17" t="s">
        <v>49</v>
      </c>
      <c r="F17" t="s">
        <v>35</v>
      </c>
      <c r="G17" t="s">
        <v>20</v>
      </c>
      <c r="H17">
        <v>16</v>
      </c>
      <c r="I17">
        <v>7808</v>
      </c>
      <c r="J17">
        <v>13267</v>
      </c>
      <c r="K17">
        <v>1369.82</v>
      </c>
      <c r="L17" s="3">
        <f t="shared" si="0"/>
        <v>0.17543801229508196</v>
      </c>
      <c r="N17" s="11">
        <f>SUM(H:H)</f>
        <v>10712</v>
      </c>
    </row>
    <row r="18" spans="1:14" x14ac:dyDescent="0.3">
      <c r="A18" s="5" t="s">
        <v>52</v>
      </c>
      <c r="B18" t="s">
        <v>39</v>
      </c>
      <c r="C18">
        <v>2025</v>
      </c>
      <c r="D18" t="s">
        <v>18</v>
      </c>
      <c r="E18" t="s">
        <v>14</v>
      </c>
      <c r="F18" t="s">
        <v>29</v>
      </c>
      <c r="G18" t="s">
        <v>20</v>
      </c>
      <c r="H18">
        <v>10</v>
      </c>
      <c r="I18">
        <v>14210</v>
      </c>
      <c r="J18">
        <v>13922</v>
      </c>
      <c r="K18">
        <v>2585.31</v>
      </c>
      <c r="L18" s="3">
        <f t="shared" si="0"/>
        <v>0.18193596059113301</v>
      </c>
    </row>
    <row r="19" spans="1:14" x14ac:dyDescent="0.3">
      <c r="A19" s="5" t="s">
        <v>53</v>
      </c>
      <c r="B19" t="s">
        <v>39</v>
      </c>
      <c r="C19">
        <v>2025</v>
      </c>
      <c r="D19" t="s">
        <v>18</v>
      </c>
      <c r="E19" t="s">
        <v>26</v>
      </c>
      <c r="F19" t="s">
        <v>29</v>
      </c>
      <c r="G19" t="s">
        <v>20</v>
      </c>
      <c r="H19">
        <v>5</v>
      </c>
      <c r="I19">
        <v>4380</v>
      </c>
      <c r="J19">
        <v>6672</v>
      </c>
      <c r="K19">
        <v>810.46</v>
      </c>
      <c r="L19" s="3">
        <f t="shared" si="0"/>
        <v>0.1850365296803653</v>
      </c>
    </row>
    <row r="20" spans="1:14" x14ac:dyDescent="0.3">
      <c r="A20" s="5" t="s">
        <v>54</v>
      </c>
      <c r="B20" t="s">
        <v>22</v>
      </c>
      <c r="C20">
        <v>2025</v>
      </c>
      <c r="D20" t="s">
        <v>23</v>
      </c>
      <c r="E20" t="s">
        <v>49</v>
      </c>
      <c r="F20" t="s">
        <v>35</v>
      </c>
      <c r="G20" t="s">
        <v>20</v>
      </c>
      <c r="H20">
        <v>1</v>
      </c>
      <c r="I20">
        <v>502</v>
      </c>
      <c r="J20">
        <v>18927</v>
      </c>
      <c r="K20">
        <v>82.72</v>
      </c>
      <c r="L20" s="3">
        <f t="shared" si="0"/>
        <v>0.1647808764940239</v>
      </c>
    </row>
    <row r="21" spans="1:14" x14ac:dyDescent="0.3">
      <c r="A21" s="5" t="s">
        <v>55</v>
      </c>
      <c r="B21" t="s">
        <v>48</v>
      </c>
      <c r="C21">
        <v>2025</v>
      </c>
      <c r="D21" t="s">
        <v>23</v>
      </c>
      <c r="E21" t="s">
        <v>28</v>
      </c>
      <c r="F21" t="s">
        <v>29</v>
      </c>
      <c r="G21" t="s">
        <v>20</v>
      </c>
      <c r="H21">
        <v>16</v>
      </c>
      <c r="I21">
        <v>19840</v>
      </c>
      <c r="J21">
        <v>11395</v>
      </c>
      <c r="K21">
        <v>2344.39</v>
      </c>
      <c r="L21" s="3">
        <f t="shared" si="0"/>
        <v>0.11816481854838709</v>
      </c>
    </row>
    <row r="22" spans="1:14" x14ac:dyDescent="0.3">
      <c r="A22" s="5" t="s">
        <v>56</v>
      </c>
      <c r="B22" t="s">
        <v>57</v>
      </c>
      <c r="C22">
        <v>2025</v>
      </c>
      <c r="D22" t="s">
        <v>23</v>
      </c>
      <c r="E22" t="s">
        <v>49</v>
      </c>
      <c r="F22" t="s">
        <v>19</v>
      </c>
      <c r="G22" t="s">
        <v>20</v>
      </c>
      <c r="H22">
        <v>8</v>
      </c>
      <c r="I22">
        <v>6832</v>
      </c>
      <c r="J22">
        <v>7661</v>
      </c>
      <c r="K22">
        <v>1941.22</v>
      </c>
      <c r="L22" s="3">
        <f t="shared" si="0"/>
        <v>0.28413641686182672</v>
      </c>
    </row>
    <row r="23" spans="1:14" x14ac:dyDescent="0.3">
      <c r="A23" s="5" t="s">
        <v>58</v>
      </c>
      <c r="B23" t="s">
        <v>39</v>
      </c>
      <c r="C23">
        <v>2025</v>
      </c>
      <c r="D23" t="s">
        <v>32</v>
      </c>
      <c r="E23" t="s">
        <v>26</v>
      </c>
      <c r="F23" t="s">
        <v>19</v>
      </c>
      <c r="G23" t="s">
        <v>20</v>
      </c>
      <c r="H23">
        <v>2</v>
      </c>
      <c r="I23">
        <v>1162</v>
      </c>
      <c r="J23">
        <v>9819</v>
      </c>
      <c r="K23">
        <v>312.83</v>
      </c>
      <c r="L23" s="3">
        <f t="shared" si="0"/>
        <v>0.2692168674698795</v>
      </c>
    </row>
    <row r="24" spans="1:14" x14ac:dyDescent="0.3">
      <c r="A24" s="5" t="s">
        <v>59</v>
      </c>
      <c r="B24" t="s">
        <v>57</v>
      </c>
      <c r="C24">
        <v>2025</v>
      </c>
      <c r="D24" t="s">
        <v>13</v>
      </c>
      <c r="E24" t="s">
        <v>60</v>
      </c>
      <c r="F24" t="s">
        <v>29</v>
      </c>
      <c r="G24" t="s">
        <v>20</v>
      </c>
      <c r="H24">
        <v>20</v>
      </c>
      <c r="I24">
        <v>4460</v>
      </c>
      <c r="J24">
        <v>17330</v>
      </c>
      <c r="K24">
        <v>614.22</v>
      </c>
      <c r="L24" s="3">
        <f t="shared" si="0"/>
        <v>0.13771748878923767</v>
      </c>
    </row>
    <row r="25" spans="1:14" x14ac:dyDescent="0.3">
      <c r="A25" s="5" t="s">
        <v>61</v>
      </c>
      <c r="B25" t="s">
        <v>31</v>
      </c>
      <c r="C25">
        <v>2025</v>
      </c>
      <c r="D25" t="s">
        <v>18</v>
      </c>
      <c r="E25" t="s">
        <v>49</v>
      </c>
      <c r="F25" t="s">
        <v>62</v>
      </c>
      <c r="G25" t="s">
        <v>63</v>
      </c>
      <c r="H25">
        <v>6</v>
      </c>
      <c r="I25">
        <v>8262</v>
      </c>
      <c r="J25">
        <v>10428</v>
      </c>
      <c r="K25">
        <v>1563.5</v>
      </c>
      <c r="L25" s="3">
        <f t="shared" si="0"/>
        <v>0.18923989348825951</v>
      </c>
    </row>
    <row r="26" spans="1:14" x14ac:dyDescent="0.3">
      <c r="A26" s="5" t="s">
        <v>64</v>
      </c>
      <c r="B26" t="s">
        <v>48</v>
      </c>
      <c r="C26">
        <v>2025</v>
      </c>
      <c r="D26" t="s">
        <v>13</v>
      </c>
      <c r="E26" t="s">
        <v>28</v>
      </c>
      <c r="F26" t="s">
        <v>19</v>
      </c>
      <c r="G26" t="s">
        <v>20</v>
      </c>
      <c r="H26">
        <v>12</v>
      </c>
      <c r="I26">
        <v>10320</v>
      </c>
      <c r="J26">
        <v>9111</v>
      </c>
      <c r="K26">
        <v>2605.34</v>
      </c>
      <c r="L26" s="3">
        <f t="shared" si="0"/>
        <v>0.25245542635658919</v>
      </c>
    </row>
    <row r="27" spans="1:14" x14ac:dyDescent="0.3">
      <c r="A27" s="5" t="s">
        <v>65</v>
      </c>
      <c r="B27" t="s">
        <v>48</v>
      </c>
      <c r="C27">
        <v>2025</v>
      </c>
      <c r="D27" t="s">
        <v>18</v>
      </c>
      <c r="E27" t="s">
        <v>26</v>
      </c>
      <c r="F27" t="s">
        <v>42</v>
      </c>
      <c r="G27" t="s">
        <v>20</v>
      </c>
      <c r="H27">
        <v>14</v>
      </c>
      <c r="I27">
        <v>8764</v>
      </c>
      <c r="J27">
        <v>9763</v>
      </c>
      <c r="K27">
        <v>2480.3200000000002</v>
      </c>
      <c r="L27" s="3">
        <f t="shared" si="0"/>
        <v>0.2830123231401187</v>
      </c>
    </row>
    <row r="28" spans="1:14" x14ac:dyDescent="0.3">
      <c r="A28" s="5" t="s">
        <v>66</v>
      </c>
      <c r="B28" t="s">
        <v>12</v>
      </c>
      <c r="C28">
        <v>2025</v>
      </c>
      <c r="D28" t="s">
        <v>23</v>
      </c>
      <c r="E28" t="s">
        <v>60</v>
      </c>
      <c r="F28" t="s">
        <v>29</v>
      </c>
      <c r="G28" t="s">
        <v>20</v>
      </c>
      <c r="H28">
        <v>13</v>
      </c>
      <c r="I28">
        <v>12077</v>
      </c>
      <c r="J28">
        <v>7499</v>
      </c>
      <c r="K28">
        <v>2837.85</v>
      </c>
      <c r="L28" s="3">
        <f t="shared" si="0"/>
        <v>0.23497971350500951</v>
      </c>
    </row>
    <row r="29" spans="1:14" x14ac:dyDescent="0.3">
      <c r="A29" s="5" t="s">
        <v>67</v>
      </c>
      <c r="B29" t="s">
        <v>22</v>
      </c>
      <c r="C29">
        <v>2025</v>
      </c>
      <c r="D29" t="s">
        <v>32</v>
      </c>
      <c r="E29" t="s">
        <v>28</v>
      </c>
      <c r="F29" t="s">
        <v>62</v>
      </c>
      <c r="G29" t="s">
        <v>63</v>
      </c>
      <c r="H29">
        <v>20</v>
      </c>
      <c r="I29">
        <v>15780</v>
      </c>
      <c r="J29">
        <v>17693</v>
      </c>
      <c r="K29">
        <v>4714.7700000000004</v>
      </c>
      <c r="L29" s="3">
        <f t="shared" si="0"/>
        <v>0.2987813688212928</v>
      </c>
    </row>
    <row r="30" spans="1:14" x14ac:dyDescent="0.3">
      <c r="A30" s="5" t="s">
        <v>68</v>
      </c>
      <c r="B30" t="s">
        <v>12</v>
      </c>
      <c r="C30">
        <v>2025</v>
      </c>
      <c r="D30" t="s">
        <v>32</v>
      </c>
      <c r="E30" t="s">
        <v>60</v>
      </c>
      <c r="F30" t="s">
        <v>62</v>
      </c>
      <c r="G30" t="s">
        <v>63</v>
      </c>
      <c r="H30">
        <v>7</v>
      </c>
      <c r="I30">
        <v>3892</v>
      </c>
      <c r="J30">
        <v>8950</v>
      </c>
      <c r="K30">
        <v>985.23</v>
      </c>
      <c r="L30" s="3">
        <f t="shared" si="0"/>
        <v>0.25314234326824253</v>
      </c>
    </row>
    <row r="31" spans="1:14" x14ac:dyDescent="0.3">
      <c r="A31" s="5" t="s">
        <v>24</v>
      </c>
      <c r="B31" t="s">
        <v>25</v>
      </c>
      <c r="C31">
        <v>2025</v>
      </c>
      <c r="D31" t="s">
        <v>13</v>
      </c>
      <c r="E31" t="s">
        <v>60</v>
      </c>
      <c r="F31" t="s">
        <v>35</v>
      </c>
      <c r="G31" t="s">
        <v>20</v>
      </c>
      <c r="H31">
        <v>17</v>
      </c>
      <c r="I31">
        <v>15895</v>
      </c>
      <c r="J31">
        <v>16988</v>
      </c>
      <c r="K31">
        <v>3612.67</v>
      </c>
      <c r="L31" s="3">
        <f t="shared" si="0"/>
        <v>0.22728342245989305</v>
      </c>
    </row>
    <row r="32" spans="1:14" x14ac:dyDescent="0.3">
      <c r="A32" s="5" t="s">
        <v>69</v>
      </c>
      <c r="B32" t="s">
        <v>48</v>
      </c>
      <c r="C32">
        <v>2025</v>
      </c>
      <c r="D32" t="s">
        <v>32</v>
      </c>
      <c r="E32" t="s">
        <v>14</v>
      </c>
      <c r="F32" t="s">
        <v>62</v>
      </c>
      <c r="G32" t="s">
        <v>63</v>
      </c>
      <c r="H32">
        <v>19</v>
      </c>
      <c r="I32">
        <v>13433</v>
      </c>
      <c r="J32">
        <v>17958</v>
      </c>
      <c r="K32">
        <v>3995.37</v>
      </c>
      <c r="L32" s="3">
        <f t="shared" si="0"/>
        <v>0.29742946475098636</v>
      </c>
    </row>
    <row r="33" spans="1:12" x14ac:dyDescent="0.3">
      <c r="A33" s="5" t="s">
        <v>70</v>
      </c>
      <c r="B33" t="s">
        <v>34</v>
      </c>
      <c r="C33">
        <v>2025</v>
      </c>
      <c r="D33" t="s">
        <v>13</v>
      </c>
      <c r="E33" t="s">
        <v>60</v>
      </c>
      <c r="F33" t="s">
        <v>19</v>
      </c>
      <c r="G33" t="s">
        <v>20</v>
      </c>
      <c r="H33">
        <v>17</v>
      </c>
      <c r="I33">
        <v>23715</v>
      </c>
      <c r="J33">
        <v>11056</v>
      </c>
      <c r="K33">
        <v>6022.9</v>
      </c>
      <c r="L33" s="3">
        <f t="shared" si="0"/>
        <v>0.25397006114273663</v>
      </c>
    </row>
    <row r="34" spans="1:12" x14ac:dyDescent="0.3">
      <c r="A34" s="5" t="s">
        <v>71</v>
      </c>
      <c r="B34" t="s">
        <v>37</v>
      </c>
      <c r="C34">
        <v>2025</v>
      </c>
      <c r="D34" t="s">
        <v>23</v>
      </c>
      <c r="E34" t="s">
        <v>26</v>
      </c>
      <c r="F34" t="s">
        <v>35</v>
      </c>
      <c r="G34" t="s">
        <v>20</v>
      </c>
      <c r="H34">
        <v>18</v>
      </c>
      <c r="I34">
        <v>5022</v>
      </c>
      <c r="J34">
        <v>14686</v>
      </c>
      <c r="K34">
        <v>584.72</v>
      </c>
      <c r="L34" s="3">
        <f t="shared" si="0"/>
        <v>0.11643170051772203</v>
      </c>
    </row>
    <row r="35" spans="1:12" x14ac:dyDescent="0.3">
      <c r="A35" s="5" t="s">
        <v>72</v>
      </c>
      <c r="B35" t="s">
        <v>12</v>
      </c>
      <c r="C35">
        <v>2025</v>
      </c>
      <c r="D35" t="s">
        <v>23</v>
      </c>
      <c r="E35" t="s">
        <v>26</v>
      </c>
      <c r="F35" t="s">
        <v>42</v>
      </c>
      <c r="G35" t="s">
        <v>20</v>
      </c>
      <c r="H35">
        <v>6</v>
      </c>
      <c r="I35">
        <v>1944</v>
      </c>
      <c r="J35">
        <v>7781</v>
      </c>
      <c r="K35">
        <v>325.02</v>
      </c>
      <c r="L35" s="3">
        <f t="shared" si="0"/>
        <v>0.16719135802469134</v>
      </c>
    </row>
    <row r="36" spans="1:12" x14ac:dyDescent="0.3">
      <c r="A36" s="5" t="s">
        <v>73</v>
      </c>
      <c r="B36" t="s">
        <v>48</v>
      </c>
      <c r="C36">
        <v>2025</v>
      </c>
      <c r="D36" t="s">
        <v>13</v>
      </c>
      <c r="E36" t="s">
        <v>49</v>
      </c>
      <c r="F36" t="s">
        <v>15</v>
      </c>
      <c r="G36" t="s">
        <v>16</v>
      </c>
      <c r="H36">
        <v>16</v>
      </c>
      <c r="I36">
        <v>6304</v>
      </c>
      <c r="J36">
        <v>13043</v>
      </c>
      <c r="K36">
        <v>1287.74</v>
      </c>
      <c r="L36" s="3">
        <f t="shared" si="0"/>
        <v>0.20427347715736041</v>
      </c>
    </row>
    <row r="37" spans="1:12" x14ac:dyDescent="0.3">
      <c r="A37" s="5" t="s">
        <v>74</v>
      </c>
      <c r="B37" t="s">
        <v>12</v>
      </c>
      <c r="C37">
        <v>2025</v>
      </c>
      <c r="D37" t="s">
        <v>18</v>
      </c>
      <c r="E37" t="s">
        <v>14</v>
      </c>
      <c r="F37" t="s">
        <v>15</v>
      </c>
      <c r="G37" t="s">
        <v>16</v>
      </c>
      <c r="H37">
        <v>7</v>
      </c>
      <c r="I37">
        <v>8554</v>
      </c>
      <c r="J37">
        <v>18726</v>
      </c>
      <c r="K37">
        <v>1383.65</v>
      </c>
      <c r="L37" s="3">
        <f t="shared" si="0"/>
        <v>0.16175473462707507</v>
      </c>
    </row>
    <row r="38" spans="1:12" x14ac:dyDescent="0.3">
      <c r="A38" s="5" t="s">
        <v>43</v>
      </c>
      <c r="B38" t="s">
        <v>25</v>
      </c>
      <c r="C38">
        <v>2025</v>
      </c>
      <c r="D38" t="s">
        <v>13</v>
      </c>
      <c r="E38" t="s">
        <v>26</v>
      </c>
      <c r="F38" t="s">
        <v>35</v>
      </c>
      <c r="G38" t="s">
        <v>20</v>
      </c>
      <c r="H38">
        <v>3</v>
      </c>
      <c r="I38">
        <v>2787</v>
      </c>
      <c r="J38">
        <v>7519</v>
      </c>
      <c r="K38">
        <v>480.65</v>
      </c>
      <c r="L38" s="3">
        <f t="shared" si="0"/>
        <v>0.17246142805884462</v>
      </c>
    </row>
    <row r="39" spans="1:12" x14ac:dyDescent="0.3">
      <c r="A39" s="5" t="s">
        <v>75</v>
      </c>
      <c r="B39" t="s">
        <v>31</v>
      </c>
      <c r="C39">
        <v>2025</v>
      </c>
      <c r="D39" t="s">
        <v>18</v>
      </c>
      <c r="E39" t="s">
        <v>28</v>
      </c>
      <c r="F39" t="s">
        <v>15</v>
      </c>
      <c r="G39" t="s">
        <v>16</v>
      </c>
      <c r="H39">
        <v>2</v>
      </c>
      <c r="I39">
        <v>590</v>
      </c>
      <c r="J39">
        <v>6700</v>
      </c>
      <c r="K39">
        <v>103.19</v>
      </c>
      <c r="L39" s="3">
        <f t="shared" si="0"/>
        <v>0.17489830508474577</v>
      </c>
    </row>
    <row r="40" spans="1:12" x14ac:dyDescent="0.3">
      <c r="A40" s="5" t="s">
        <v>76</v>
      </c>
      <c r="B40" t="s">
        <v>34</v>
      </c>
      <c r="C40">
        <v>2025</v>
      </c>
      <c r="D40" t="s">
        <v>13</v>
      </c>
      <c r="E40" t="s">
        <v>28</v>
      </c>
      <c r="F40" t="s">
        <v>19</v>
      </c>
      <c r="G40" t="s">
        <v>20</v>
      </c>
      <c r="H40">
        <v>12</v>
      </c>
      <c r="I40">
        <v>12792</v>
      </c>
      <c r="J40">
        <v>17840</v>
      </c>
      <c r="K40">
        <v>2096.06</v>
      </c>
      <c r="L40" s="3">
        <f t="shared" si="0"/>
        <v>0.16385709818636648</v>
      </c>
    </row>
    <row r="41" spans="1:12" x14ac:dyDescent="0.3">
      <c r="A41" s="5" t="s">
        <v>77</v>
      </c>
      <c r="B41" t="s">
        <v>31</v>
      </c>
      <c r="C41">
        <v>2025</v>
      </c>
      <c r="D41" t="s">
        <v>18</v>
      </c>
      <c r="E41" t="s">
        <v>60</v>
      </c>
      <c r="F41" t="s">
        <v>35</v>
      </c>
      <c r="G41" t="s">
        <v>20</v>
      </c>
      <c r="H41">
        <v>15</v>
      </c>
      <c r="I41">
        <v>13680</v>
      </c>
      <c r="J41">
        <v>7045</v>
      </c>
      <c r="K41">
        <v>2944.1</v>
      </c>
      <c r="L41" s="3">
        <f t="shared" si="0"/>
        <v>0.21521198830409355</v>
      </c>
    </row>
    <row r="42" spans="1:12" x14ac:dyDescent="0.3">
      <c r="A42" s="5" t="s">
        <v>78</v>
      </c>
      <c r="B42" t="s">
        <v>34</v>
      </c>
      <c r="C42">
        <v>2025</v>
      </c>
      <c r="D42" t="s">
        <v>18</v>
      </c>
      <c r="E42" t="s">
        <v>26</v>
      </c>
      <c r="F42" t="s">
        <v>62</v>
      </c>
      <c r="G42" t="s">
        <v>63</v>
      </c>
      <c r="H42">
        <v>15</v>
      </c>
      <c r="I42">
        <v>20160</v>
      </c>
      <c r="J42">
        <v>18340</v>
      </c>
      <c r="K42">
        <v>3757.56</v>
      </c>
      <c r="L42" s="3">
        <f t="shared" si="0"/>
        <v>0.18638690476190475</v>
      </c>
    </row>
    <row r="43" spans="1:12" x14ac:dyDescent="0.3">
      <c r="A43" s="5" t="s">
        <v>79</v>
      </c>
      <c r="B43" t="s">
        <v>39</v>
      </c>
      <c r="C43">
        <v>2025</v>
      </c>
      <c r="D43" t="s">
        <v>18</v>
      </c>
      <c r="E43" t="s">
        <v>60</v>
      </c>
      <c r="F43" t="s">
        <v>42</v>
      </c>
      <c r="G43" t="s">
        <v>20</v>
      </c>
      <c r="H43">
        <v>12</v>
      </c>
      <c r="I43">
        <v>3972</v>
      </c>
      <c r="J43">
        <v>10018</v>
      </c>
      <c r="K43">
        <v>1154.56</v>
      </c>
      <c r="L43" s="3">
        <f t="shared" si="0"/>
        <v>0.29067472306143</v>
      </c>
    </row>
    <row r="44" spans="1:12" x14ac:dyDescent="0.3">
      <c r="A44" s="5" t="s">
        <v>80</v>
      </c>
      <c r="B44" t="s">
        <v>48</v>
      </c>
      <c r="C44">
        <v>2025</v>
      </c>
      <c r="D44" t="s">
        <v>13</v>
      </c>
      <c r="E44" t="s">
        <v>60</v>
      </c>
      <c r="F44" t="s">
        <v>19</v>
      </c>
      <c r="G44" t="s">
        <v>20</v>
      </c>
      <c r="H44">
        <v>10</v>
      </c>
      <c r="I44">
        <v>10640</v>
      </c>
      <c r="J44">
        <v>15778</v>
      </c>
      <c r="K44">
        <v>3096.87</v>
      </c>
      <c r="L44" s="3">
        <f t="shared" si="0"/>
        <v>0.29105921052631578</v>
      </c>
    </row>
    <row r="45" spans="1:12" x14ac:dyDescent="0.3">
      <c r="A45" s="5" t="s">
        <v>81</v>
      </c>
      <c r="B45" t="s">
        <v>41</v>
      </c>
      <c r="C45">
        <v>2025</v>
      </c>
      <c r="D45" t="s">
        <v>32</v>
      </c>
      <c r="E45" t="s">
        <v>60</v>
      </c>
      <c r="F45" t="s">
        <v>35</v>
      </c>
      <c r="G45" t="s">
        <v>20</v>
      </c>
      <c r="H45">
        <v>3</v>
      </c>
      <c r="I45">
        <v>3123</v>
      </c>
      <c r="J45">
        <v>5859</v>
      </c>
      <c r="K45">
        <v>490.42</v>
      </c>
      <c r="L45" s="3">
        <f t="shared" si="0"/>
        <v>0.15703490233749601</v>
      </c>
    </row>
    <row r="46" spans="1:12" x14ac:dyDescent="0.3">
      <c r="A46" s="5" t="s">
        <v>82</v>
      </c>
      <c r="B46" t="s">
        <v>48</v>
      </c>
      <c r="C46">
        <v>2025</v>
      </c>
      <c r="D46" t="s">
        <v>32</v>
      </c>
      <c r="E46" t="s">
        <v>60</v>
      </c>
      <c r="F46" t="s">
        <v>62</v>
      </c>
      <c r="G46" t="s">
        <v>63</v>
      </c>
      <c r="H46">
        <v>17</v>
      </c>
      <c r="I46">
        <v>4641</v>
      </c>
      <c r="J46">
        <v>6952</v>
      </c>
      <c r="K46">
        <v>908.67</v>
      </c>
      <c r="L46" s="3">
        <f t="shared" si="0"/>
        <v>0.19579185520361991</v>
      </c>
    </row>
    <row r="47" spans="1:12" x14ac:dyDescent="0.3">
      <c r="A47" s="5" t="s">
        <v>83</v>
      </c>
      <c r="B47" t="s">
        <v>48</v>
      </c>
      <c r="C47">
        <v>2025</v>
      </c>
      <c r="D47" t="s">
        <v>23</v>
      </c>
      <c r="E47" t="s">
        <v>14</v>
      </c>
      <c r="F47" t="s">
        <v>29</v>
      </c>
      <c r="G47" t="s">
        <v>20</v>
      </c>
      <c r="H47">
        <v>18</v>
      </c>
      <c r="I47">
        <v>26694</v>
      </c>
      <c r="J47">
        <v>13213</v>
      </c>
      <c r="K47">
        <v>5144.9399999999996</v>
      </c>
      <c r="L47" s="3">
        <f t="shared" si="0"/>
        <v>0.19273769386378961</v>
      </c>
    </row>
    <row r="48" spans="1:12" x14ac:dyDescent="0.3">
      <c r="A48" s="5" t="s">
        <v>84</v>
      </c>
      <c r="B48" t="s">
        <v>85</v>
      </c>
      <c r="C48">
        <v>2025</v>
      </c>
      <c r="D48" t="s">
        <v>23</v>
      </c>
      <c r="E48" t="s">
        <v>49</v>
      </c>
      <c r="F48" t="s">
        <v>15</v>
      </c>
      <c r="G48" t="s">
        <v>16</v>
      </c>
      <c r="H48">
        <v>3</v>
      </c>
      <c r="I48">
        <v>2433</v>
      </c>
      <c r="J48">
        <v>5449</v>
      </c>
      <c r="K48">
        <v>728.22</v>
      </c>
      <c r="L48" s="3">
        <f t="shared" si="0"/>
        <v>0.29930949445129473</v>
      </c>
    </row>
    <row r="49" spans="1:12" x14ac:dyDescent="0.3">
      <c r="A49" s="5" t="s">
        <v>86</v>
      </c>
      <c r="B49" t="s">
        <v>25</v>
      </c>
      <c r="C49">
        <v>2025</v>
      </c>
      <c r="D49" t="s">
        <v>32</v>
      </c>
      <c r="E49" t="s">
        <v>14</v>
      </c>
      <c r="F49" t="s">
        <v>29</v>
      </c>
      <c r="G49" t="s">
        <v>20</v>
      </c>
      <c r="H49">
        <v>13</v>
      </c>
      <c r="I49">
        <v>2977</v>
      </c>
      <c r="J49">
        <v>6429</v>
      </c>
      <c r="K49">
        <v>399.99</v>
      </c>
      <c r="L49" s="3">
        <f t="shared" si="0"/>
        <v>0.13436009405441721</v>
      </c>
    </row>
    <row r="50" spans="1:12" x14ac:dyDescent="0.3">
      <c r="A50" s="5" t="s">
        <v>87</v>
      </c>
      <c r="B50" t="s">
        <v>85</v>
      </c>
      <c r="C50">
        <v>2025</v>
      </c>
      <c r="D50" t="s">
        <v>18</v>
      </c>
      <c r="E50" t="s">
        <v>49</v>
      </c>
      <c r="F50" t="s">
        <v>29</v>
      </c>
      <c r="G50" t="s">
        <v>20</v>
      </c>
      <c r="H50">
        <v>9</v>
      </c>
      <c r="I50">
        <v>11952</v>
      </c>
      <c r="J50">
        <v>10243</v>
      </c>
      <c r="K50">
        <v>1361.37</v>
      </c>
      <c r="L50" s="3">
        <f t="shared" si="0"/>
        <v>0.11390311244979918</v>
      </c>
    </row>
    <row r="51" spans="1:12" x14ac:dyDescent="0.3">
      <c r="A51" s="5" t="s">
        <v>33</v>
      </c>
      <c r="B51" t="s">
        <v>34</v>
      </c>
      <c r="C51">
        <v>2025</v>
      </c>
      <c r="D51" t="s">
        <v>23</v>
      </c>
      <c r="E51" t="s">
        <v>49</v>
      </c>
      <c r="F51" t="s">
        <v>19</v>
      </c>
      <c r="G51" t="s">
        <v>20</v>
      </c>
      <c r="H51">
        <v>9</v>
      </c>
      <c r="I51">
        <v>5535</v>
      </c>
      <c r="J51">
        <v>9068</v>
      </c>
      <c r="K51">
        <v>651.80999999999995</v>
      </c>
      <c r="L51" s="3">
        <f t="shared" si="0"/>
        <v>0.11776151761517614</v>
      </c>
    </row>
    <row r="52" spans="1:12" x14ac:dyDescent="0.3">
      <c r="A52" s="5" t="s">
        <v>88</v>
      </c>
      <c r="B52" t="s">
        <v>22</v>
      </c>
      <c r="C52">
        <v>2025</v>
      </c>
      <c r="D52" t="s">
        <v>18</v>
      </c>
      <c r="E52" t="s">
        <v>28</v>
      </c>
      <c r="F52" t="s">
        <v>42</v>
      </c>
      <c r="G52" t="s">
        <v>20</v>
      </c>
      <c r="H52">
        <v>1</v>
      </c>
      <c r="I52">
        <v>894</v>
      </c>
      <c r="J52">
        <v>11721</v>
      </c>
      <c r="K52">
        <v>177.8</v>
      </c>
      <c r="L52" s="3">
        <f t="shared" si="0"/>
        <v>0.19888143176733783</v>
      </c>
    </row>
    <row r="53" spans="1:12" x14ac:dyDescent="0.3">
      <c r="A53" s="5" t="s">
        <v>89</v>
      </c>
      <c r="B53" t="s">
        <v>31</v>
      </c>
      <c r="C53">
        <v>2025</v>
      </c>
      <c r="D53" t="s">
        <v>18</v>
      </c>
      <c r="E53" t="s">
        <v>28</v>
      </c>
      <c r="F53" t="s">
        <v>19</v>
      </c>
      <c r="G53" t="s">
        <v>20</v>
      </c>
      <c r="H53">
        <v>16</v>
      </c>
      <c r="I53">
        <v>3168</v>
      </c>
      <c r="J53">
        <v>6412</v>
      </c>
      <c r="K53">
        <v>366.85</v>
      </c>
      <c r="L53" s="3">
        <f t="shared" si="0"/>
        <v>0.11579861111111112</v>
      </c>
    </row>
    <row r="54" spans="1:12" x14ac:dyDescent="0.3">
      <c r="A54" s="5" t="s">
        <v>90</v>
      </c>
      <c r="B54" t="s">
        <v>57</v>
      </c>
      <c r="C54">
        <v>2025</v>
      </c>
      <c r="D54" t="s">
        <v>23</v>
      </c>
      <c r="E54" t="s">
        <v>26</v>
      </c>
      <c r="F54" t="s">
        <v>15</v>
      </c>
      <c r="G54" t="s">
        <v>16</v>
      </c>
      <c r="H54">
        <v>9</v>
      </c>
      <c r="I54">
        <v>10881</v>
      </c>
      <c r="J54">
        <v>5296</v>
      </c>
      <c r="K54">
        <v>1563.01</v>
      </c>
      <c r="L54" s="3">
        <f t="shared" si="0"/>
        <v>0.14364580461354653</v>
      </c>
    </row>
    <row r="55" spans="1:12" x14ac:dyDescent="0.3">
      <c r="A55" s="5" t="s">
        <v>91</v>
      </c>
      <c r="B55" t="s">
        <v>39</v>
      </c>
      <c r="C55">
        <v>2025</v>
      </c>
      <c r="D55" t="s">
        <v>32</v>
      </c>
      <c r="E55" t="s">
        <v>26</v>
      </c>
      <c r="F55" t="s">
        <v>42</v>
      </c>
      <c r="G55" t="s">
        <v>20</v>
      </c>
      <c r="H55">
        <v>10</v>
      </c>
      <c r="I55">
        <v>11360</v>
      </c>
      <c r="J55">
        <v>19883</v>
      </c>
      <c r="K55">
        <v>2368.6</v>
      </c>
      <c r="L55" s="3">
        <f t="shared" si="0"/>
        <v>0.20850352112676054</v>
      </c>
    </row>
    <row r="56" spans="1:12" x14ac:dyDescent="0.3">
      <c r="A56" s="5" t="s">
        <v>92</v>
      </c>
      <c r="B56" t="s">
        <v>12</v>
      </c>
      <c r="C56">
        <v>2025</v>
      </c>
      <c r="D56" t="s">
        <v>13</v>
      </c>
      <c r="E56" t="s">
        <v>26</v>
      </c>
      <c r="F56" t="s">
        <v>19</v>
      </c>
      <c r="G56" t="s">
        <v>20</v>
      </c>
      <c r="H56">
        <v>11</v>
      </c>
      <c r="I56">
        <v>10769</v>
      </c>
      <c r="J56">
        <v>8768</v>
      </c>
      <c r="K56">
        <v>1739.01</v>
      </c>
      <c r="L56" s="3">
        <f t="shared" si="0"/>
        <v>0.16148296034915033</v>
      </c>
    </row>
    <row r="57" spans="1:12" x14ac:dyDescent="0.3">
      <c r="A57" s="5" t="s">
        <v>93</v>
      </c>
      <c r="B57" t="s">
        <v>57</v>
      </c>
      <c r="C57">
        <v>2025</v>
      </c>
      <c r="D57" t="s">
        <v>23</v>
      </c>
      <c r="E57" t="s">
        <v>49</v>
      </c>
      <c r="F57" t="s">
        <v>19</v>
      </c>
      <c r="G57" t="s">
        <v>20</v>
      </c>
      <c r="H57">
        <v>8</v>
      </c>
      <c r="I57">
        <v>7952</v>
      </c>
      <c r="J57">
        <v>7056</v>
      </c>
      <c r="K57">
        <v>1083.3499999999999</v>
      </c>
      <c r="L57" s="3">
        <f t="shared" si="0"/>
        <v>0.13623616700201205</v>
      </c>
    </row>
    <row r="58" spans="1:12" x14ac:dyDescent="0.3">
      <c r="A58" s="5" t="s">
        <v>94</v>
      </c>
      <c r="B58" t="s">
        <v>22</v>
      </c>
      <c r="C58">
        <v>2025</v>
      </c>
      <c r="D58" t="s">
        <v>32</v>
      </c>
      <c r="E58" t="s">
        <v>14</v>
      </c>
      <c r="F58" t="s">
        <v>15</v>
      </c>
      <c r="G58" t="s">
        <v>16</v>
      </c>
      <c r="H58">
        <v>16</v>
      </c>
      <c r="I58">
        <v>19424</v>
      </c>
      <c r="J58">
        <v>9374</v>
      </c>
      <c r="K58">
        <v>5377</v>
      </c>
      <c r="L58" s="3">
        <f t="shared" si="0"/>
        <v>0.27682248764415157</v>
      </c>
    </row>
    <row r="59" spans="1:12" x14ac:dyDescent="0.3">
      <c r="A59" s="5" t="s">
        <v>95</v>
      </c>
      <c r="B59" t="s">
        <v>34</v>
      </c>
      <c r="C59">
        <v>2025</v>
      </c>
      <c r="D59" t="s">
        <v>23</v>
      </c>
      <c r="E59" t="s">
        <v>28</v>
      </c>
      <c r="F59" t="s">
        <v>42</v>
      </c>
      <c r="G59" t="s">
        <v>20</v>
      </c>
      <c r="H59">
        <v>13</v>
      </c>
      <c r="I59">
        <v>2652</v>
      </c>
      <c r="J59">
        <v>16265</v>
      </c>
      <c r="K59">
        <v>378</v>
      </c>
      <c r="L59" s="3">
        <f t="shared" si="0"/>
        <v>0.1425339366515837</v>
      </c>
    </row>
    <row r="60" spans="1:12" x14ac:dyDescent="0.3">
      <c r="A60" s="5" t="s">
        <v>96</v>
      </c>
      <c r="B60" t="s">
        <v>57</v>
      </c>
      <c r="C60">
        <v>2025</v>
      </c>
      <c r="D60" t="s">
        <v>18</v>
      </c>
      <c r="E60" t="s">
        <v>14</v>
      </c>
      <c r="F60" t="s">
        <v>35</v>
      </c>
      <c r="G60" t="s">
        <v>20</v>
      </c>
      <c r="H60">
        <v>14</v>
      </c>
      <c r="I60">
        <v>6930</v>
      </c>
      <c r="J60">
        <v>10256</v>
      </c>
      <c r="K60">
        <v>827.37</v>
      </c>
      <c r="L60" s="3">
        <f t="shared" si="0"/>
        <v>0.11938961038961039</v>
      </c>
    </row>
    <row r="61" spans="1:12" x14ac:dyDescent="0.3">
      <c r="A61" s="5" t="s">
        <v>97</v>
      </c>
      <c r="B61" t="s">
        <v>85</v>
      </c>
      <c r="C61">
        <v>2025</v>
      </c>
      <c r="D61" t="s">
        <v>13</v>
      </c>
      <c r="E61" t="s">
        <v>14</v>
      </c>
      <c r="F61" t="s">
        <v>62</v>
      </c>
      <c r="G61" t="s">
        <v>63</v>
      </c>
      <c r="H61">
        <v>1</v>
      </c>
      <c r="I61">
        <v>448</v>
      </c>
      <c r="J61">
        <v>15060</v>
      </c>
      <c r="K61">
        <v>97.74</v>
      </c>
      <c r="L61" s="3">
        <f t="shared" si="0"/>
        <v>0.21816964285714285</v>
      </c>
    </row>
    <row r="62" spans="1:12" x14ac:dyDescent="0.3">
      <c r="A62" s="5" t="s">
        <v>98</v>
      </c>
      <c r="B62" t="s">
        <v>12</v>
      </c>
      <c r="C62">
        <v>2025</v>
      </c>
      <c r="D62" t="s">
        <v>18</v>
      </c>
      <c r="E62" t="s">
        <v>60</v>
      </c>
      <c r="F62" t="s">
        <v>42</v>
      </c>
      <c r="G62" t="s">
        <v>20</v>
      </c>
      <c r="H62">
        <v>14</v>
      </c>
      <c r="I62">
        <v>5908</v>
      </c>
      <c r="J62">
        <v>14806</v>
      </c>
      <c r="K62">
        <v>684.1</v>
      </c>
      <c r="L62" s="3">
        <f t="shared" si="0"/>
        <v>0.11579214624238321</v>
      </c>
    </row>
    <row r="63" spans="1:12" x14ac:dyDescent="0.3">
      <c r="A63" s="5" t="s">
        <v>99</v>
      </c>
      <c r="B63" t="s">
        <v>34</v>
      </c>
      <c r="C63">
        <v>2025</v>
      </c>
      <c r="D63" t="s">
        <v>23</v>
      </c>
      <c r="E63" t="s">
        <v>26</v>
      </c>
      <c r="F63" t="s">
        <v>19</v>
      </c>
      <c r="G63" t="s">
        <v>20</v>
      </c>
      <c r="H63">
        <v>5</v>
      </c>
      <c r="I63">
        <v>7330</v>
      </c>
      <c r="J63">
        <v>13109</v>
      </c>
      <c r="K63">
        <v>1318.55</v>
      </c>
      <c r="L63" s="3">
        <f t="shared" si="0"/>
        <v>0.17988403819918145</v>
      </c>
    </row>
    <row r="64" spans="1:12" x14ac:dyDescent="0.3">
      <c r="A64" s="5" t="s">
        <v>100</v>
      </c>
      <c r="B64" t="s">
        <v>39</v>
      </c>
      <c r="C64">
        <v>2025</v>
      </c>
      <c r="D64" t="s">
        <v>32</v>
      </c>
      <c r="E64" t="s">
        <v>14</v>
      </c>
      <c r="F64" t="s">
        <v>42</v>
      </c>
      <c r="G64" t="s">
        <v>20</v>
      </c>
      <c r="H64">
        <v>15</v>
      </c>
      <c r="I64">
        <v>18180</v>
      </c>
      <c r="J64">
        <v>15238</v>
      </c>
      <c r="K64">
        <v>4131.05</v>
      </c>
      <c r="L64" s="3">
        <f t="shared" si="0"/>
        <v>0.22723047304730473</v>
      </c>
    </row>
    <row r="65" spans="1:12" x14ac:dyDescent="0.3">
      <c r="A65" s="5" t="s">
        <v>78</v>
      </c>
      <c r="B65" t="s">
        <v>34</v>
      </c>
      <c r="C65">
        <v>2025</v>
      </c>
      <c r="D65" t="s">
        <v>23</v>
      </c>
      <c r="E65" t="s">
        <v>28</v>
      </c>
      <c r="F65" t="s">
        <v>42</v>
      </c>
      <c r="G65" t="s">
        <v>20</v>
      </c>
      <c r="H65">
        <v>16</v>
      </c>
      <c r="I65">
        <v>13056</v>
      </c>
      <c r="J65">
        <v>17754</v>
      </c>
      <c r="K65">
        <v>2973.43</v>
      </c>
      <c r="L65" s="3">
        <f t="shared" si="0"/>
        <v>0.22774433210784312</v>
      </c>
    </row>
    <row r="66" spans="1:12" x14ac:dyDescent="0.3">
      <c r="A66" s="5" t="s">
        <v>101</v>
      </c>
      <c r="B66" t="s">
        <v>48</v>
      </c>
      <c r="C66">
        <v>2025</v>
      </c>
      <c r="D66" t="s">
        <v>18</v>
      </c>
      <c r="E66" t="s">
        <v>28</v>
      </c>
      <c r="F66" t="s">
        <v>15</v>
      </c>
      <c r="G66" t="s">
        <v>16</v>
      </c>
      <c r="H66">
        <v>19</v>
      </c>
      <c r="I66">
        <v>27987</v>
      </c>
      <c r="J66">
        <v>18045</v>
      </c>
      <c r="K66">
        <v>6133.88</v>
      </c>
      <c r="L66" s="3">
        <f t="shared" si="0"/>
        <v>0.21916889984635723</v>
      </c>
    </row>
    <row r="67" spans="1:12" x14ac:dyDescent="0.3">
      <c r="A67" s="5" t="s">
        <v>102</v>
      </c>
      <c r="B67" t="s">
        <v>57</v>
      </c>
      <c r="C67">
        <v>2025</v>
      </c>
      <c r="D67" t="s">
        <v>18</v>
      </c>
      <c r="E67" t="s">
        <v>28</v>
      </c>
      <c r="F67" t="s">
        <v>35</v>
      </c>
      <c r="G67" t="s">
        <v>20</v>
      </c>
      <c r="H67">
        <v>20</v>
      </c>
      <c r="I67">
        <v>12320</v>
      </c>
      <c r="J67">
        <v>6689</v>
      </c>
      <c r="K67">
        <v>3638.53</v>
      </c>
      <c r="L67" s="3">
        <f t="shared" ref="L67:L130" si="1">K67/I67</f>
        <v>0.29533522727272726</v>
      </c>
    </row>
    <row r="68" spans="1:12" x14ac:dyDescent="0.3">
      <c r="A68" s="5" t="s">
        <v>80</v>
      </c>
      <c r="B68" t="s">
        <v>48</v>
      </c>
      <c r="C68">
        <v>2025</v>
      </c>
      <c r="D68" t="s">
        <v>18</v>
      </c>
      <c r="E68" t="s">
        <v>49</v>
      </c>
      <c r="F68" t="s">
        <v>15</v>
      </c>
      <c r="G68" t="s">
        <v>16</v>
      </c>
      <c r="H68">
        <v>5</v>
      </c>
      <c r="I68">
        <v>6280</v>
      </c>
      <c r="J68">
        <v>9916</v>
      </c>
      <c r="K68">
        <v>1133.99</v>
      </c>
      <c r="L68" s="3">
        <f t="shared" si="1"/>
        <v>0.1805716560509554</v>
      </c>
    </row>
    <row r="69" spans="1:12" x14ac:dyDescent="0.3">
      <c r="A69" s="5" t="s">
        <v>11</v>
      </c>
      <c r="B69" t="s">
        <v>12</v>
      </c>
      <c r="C69">
        <v>2025</v>
      </c>
      <c r="D69" t="s">
        <v>13</v>
      </c>
      <c r="E69" t="s">
        <v>49</v>
      </c>
      <c r="F69" t="s">
        <v>19</v>
      </c>
      <c r="G69" t="s">
        <v>20</v>
      </c>
      <c r="H69">
        <v>7</v>
      </c>
      <c r="I69">
        <v>7182</v>
      </c>
      <c r="J69">
        <v>13863</v>
      </c>
      <c r="K69">
        <v>1039.02</v>
      </c>
      <c r="L69" s="3">
        <f t="shared" si="1"/>
        <v>0.14467000835421887</v>
      </c>
    </row>
    <row r="70" spans="1:12" x14ac:dyDescent="0.3">
      <c r="A70" s="5" t="s">
        <v>103</v>
      </c>
      <c r="B70" t="s">
        <v>37</v>
      </c>
      <c r="C70">
        <v>2025</v>
      </c>
      <c r="D70" t="s">
        <v>13</v>
      </c>
      <c r="E70" t="s">
        <v>26</v>
      </c>
      <c r="F70" t="s">
        <v>29</v>
      </c>
      <c r="G70" t="s">
        <v>20</v>
      </c>
      <c r="H70">
        <v>8</v>
      </c>
      <c r="I70">
        <v>8680</v>
      </c>
      <c r="J70">
        <v>18182</v>
      </c>
      <c r="K70">
        <v>1514.53</v>
      </c>
      <c r="L70" s="3">
        <f t="shared" si="1"/>
        <v>0.17448502304147465</v>
      </c>
    </row>
    <row r="71" spans="1:12" x14ac:dyDescent="0.3">
      <c r="A71" s="5" t="s">
        <v>104</v>
      </c>
      <c r="B71" t="s">
        <v>85</v>
      </c>
      <c r="C71">
        <v>2025</v>
      </c>
      <c r="D71" t="s">
        <v>32</v>
      </c>
      <c r="E71" t="s">
        <v>28</v>
      </c>
      <c r="F71" t="s">
        <v>35</v>
      </c>
      <c r="G71" t="s">
        <v>20</v>
      </c>
      <c r="H71">
        <v>14</v>
      </c>
      <c r="I71">
        <v>18004</v>
      </c>
      <c r="J71">
        <v>10244</v>
      </c>
      <c r="K71">
        <v>2915.8</v>
      </c>
      <c r="L71" s="3">
        <f t="shared" si="1"/>
        <v>0.16195289935569873</v>
      </c>
    </row>
    <row r="72" spans="1:12" x14ac:dyDescent="0.3">
      <c r="A72" s="5" t="s">
        <v>105</v>
      </c>
      <c r="B72" t="s">
        <v>57</v>
      </c>
      <c r="C72">
        <v>2025</v>
      </c>
      <c r="D72" t="s">
        <v>13</v>
      </c>
      <c r="E72" t="s">
        <v>28</v>
      </c>
      <c r="F72" t="s">
        <v>62</v>
      </c>
      <c r="G72" t="s">
        <v>63</v>
      </c>
      <c r="H72">
        <v>2</v>
      </c>
      <c r="I72">
        <v>1298</v>
      </c>
      <c r="J72">
        <v>13642</v>
      </c>
      <c r="K72">
        <v>322.92</v>
      </c>
      <c r="L72" s="3">
        <f t="shared" si="1"/>
        <v>0.24878274268104777</v>
      </c>
    </row>
    <row r="73" spans="1:12" x14ac:dyDescent="0.3">
      <c r="A73" s="5" t="s">
        <v>106</v>
      </c>
      <c r="B73" t="s">
        <v>45</v>
      </c>
      <c r="C73">
        <v>2025</v>
      </c>
      <c r="D73" t="s">
        <v>13</v>
      </c>
      <c r="E73" t="s">
        <v>49</v>
      </c>
      <c r="F73" t="s">
        <v>15</v>
      </c>
      <c r="G73" t="s">
        <v>16</v>
      </c>
      <c r="H73">
        <v>16</v>
      </c>
      <c r="I73">
        <v>7328</v>
      </c>
      <c r="J73">
        <v>5474</v>
      </c>
      <c r="K73">
        <v>1488.42</v>
      </c>
      <c r="L73" s="3">
        <f t="shared" si="1"/>
        <v>0.20311408296943231</v>
      </c>
    </row>
    <row r="74" spans="1:12" x14ac:dyDescent="0.3">
      <c r="A74" s="5" t="s">
        <v>107</v>
      </c>
      <c r="B74" t="s">
        <v>12</v>
      </c>
      <c r="C74">
        <v>2025</v>
      </c>
      <c r="D74" t="s">
        <v>23</v>
      </c>
      <c r="E74" t="s">
        <v>60</v>
      </c>
      <c r="F74" t="s">
        <v>62</v>
      </c>
      <c r="G74" t="s">
        <v>63</v>
      </c>
      <c r="H74">
        <v>13</v>
      </c>
      <c r="I74">
        <v>4537</v>
      </c>
      <c r="J74">
        <v>14932</v>
      </c>
      <c r="K74">
        <v>1189.72</v>
      </c>
      <c r="L74" s="3">
        <f t="shared" si="1"/>
        <v>0.26222614062155608</v>
      </c>
    </row>
    <row r="75" spans="1:12" x14ac:dyDescent="0.3">
      <c r="A75" s="5" t="s">
        <v>24</v>
      </c>
      <c r="B75" t="s">
        <v>25</v>
      </c>
      <c r="C75">
        <v>2025</v>
      </c>
      <c r="D75" t="s">
        <v>18</v>
      </c>
      <c r="E75" t="s">
        <v>60</v>
      </c>
      <c r="F75" t="s">
        <v>29</v>
      </c>
      <c r="G75" t="s">
        <v>20</v>
      </c>
      <c r="H75">
        <v>19</v>
      </c>
      <c r="I75">
        <v>6441</v>
      </c>
      <c r="J75">
        <v>6055</v>
      </c>
      <c r="K75">
        <v>1928.75</v>
      </c>
      <c r="L75" s="3">
        <f t="shared" si="1"/>
        <v>0.29944884334730631</v>
      </c>
    </row>
    <row r="76" spans="1:12" x14ac:dyDescent="0.3">
      <c r="A76" s="5" t="s">
        <v>108</v>
      </c>
      <c r="B76" t="s">
        <v>37</v>
      </c>
      <c r="C76">
        <v>2025</v>
      </c>
      <c r="D76" t="s">
        <v>18</v>
      </c>
      <c r="E76" t="s">
        <v>14</v>
      </c>
      <c r="F76" t="s">
        <v>29</v>
      </c>
      <c r="G76" t="s">
        <v>20</v>
      </c>
      <c r="H76">
        <v>8</v>
      </c>
      <c r="I76">
        <v>5328</v>
      </c>
      <c r="J76">
        <v>15139</v>
      </c>
      <c r="K76">
        <v>887.26</v>
      </c>
      <c r="L76" s="3">
        <f t="shared" si="1"/>
        <v>0.16652777777777777</v>
      </c>
    </row>
    <row r="77" spans="1:12" x14ac:dyDescent="0.3">
      <c r="A77" s="5" t="s">
        <v>109</v>
      </c>
      <c r="B77" t="s">
        <v>25</v>
      </c>
      <c r="C77">
        <v>2025</v>
      </c>
      <c r="D77" t="s">
        <v>32</v>
      </c>
      <c r="E77" t="s">
        <v>26</v>
      </c>
      <c r="F77" t="s">
        <v>19</v>
      </c>
      <c r="G77" t="s">
        <v>20</v>
      </c>
      <c r="H77">
        <v>2</v>
      </c>
      <c r="I77">
        <v>874</v>
      </c>
      <c r="J77">
        <v>19193</v>
      </c>
      <c r="K77">
        <v>94.13</v>
      </c>
      <c r="L77" s="3">
        <f t="shared" si="1"/>
        <v>0.10770022883295194</v>
      </c>
    </row>
    <row r="78" spans="1:12" x14ac:dyDescent="0.3">
      <c r="A78" s="5" t="s">
        <v>110</v>
      </c>
      <c r="B78" t="s">
        <v>37</v>
      </c>
      <c r="C78">
        <v>2025</v>
      </c>
      <c r="D78" t="s">
        <v>32</v>
      </c>
      <c r="E78" t="s">
        <v>49</v>
      </c>
      <c r="F78" t="s">
        <v>42</v>
      </c>
      <c r="G78" t="s">
        <v>20</v>
      </c>
      <c r="H78">
        <v>6</v>
      </c>
      <c r="I78">
        <v>2118</v>
      </c>
      <c r="J78">
        <v>18084</v>
      </c>
      <c r="K78">
        <v>518.66999999999996</v>
      </c>
      <c r="L78" s="3">
        <f t="shared" si="1"/>
        <v>0.24488668555240792</v>
      </c>
    </row>
    <row r="79" spans="1:12" x14ac:dyDescent="0.3">
      <c r="A79" s="5" t="s">
        <v>111</v>
      </c>
      <c r="B79" t="s">
        <v>34</v>
      </c>
      <c r="C79">
        <v>2025</v>
      </c>
      <c r="D79" t="s">
        <v>23</v>
      </c>
      <c r="E79" t="s">
        <v>49</v>
      </c>
      <c r="F79" t="s">
        <v>15</v>
      </c>
      <c r="G79" t="s">
        <v>16</v>
      </c>
      <c r="H79">
        <v>18</v>
      </c>
      <c r="I79">
        <v>23562</v>
      </c>
      <c r="J79">
        <v>7680</v>
      </c>
      <c r="K79">
        <v>5865.97</v>
      </c>
      <c r="L79" s="3">
        <f t="shared" si="1"/>
        <v>0.24895891690009339</v>
      </c>
    </row>
    <row r="80" spans="1:12" x14ac:dyDescent="0.3">
      <c r="A80" s="5" t="s">
        <v>112</v>
      </c>
      <c r="B80" t="s">
        <v>41</v>
      </c>
      <c r="C80">
        <v>2025</v>
      </c>
      <c r="D80" t="s">
        <v>18</v>
      </c>
      <c r="E80" t="s">
        <v>26</v>
      </c>
      <c r="F80" t="s">
        <v>62</v>
      </c>
      <c r="G80" t="s">
        <v>63</v>
      </c>
      <c r="H80">
        <v>10</v>
      </c>
      <c r="I80">
        <v>11620</v>
      </c>
      <c r="J80">
        <v>13402</v>
      </c>
      <c r="K80">
        <v>1667.6</v>
      </c>
      <c r="L80" s="3">
        <f t="shared" si="1"/>
        <v>0.14351118760757314</v>
      </c>
    </row>
    <row r="81" spans="1:12" x14ac:dyDescent="0.3">
      <c r="A81" s="5" t="s">
        <v>113</v>
      </c>
      <c r="B81" t="s">
        <v>85</v>
      </c>
      <c r="C81">
        <v>2025</v>
      </c>
      <c r="D81" t="s">
        <v>13</v>
      </c>
      <c r="E81" t="s">
        <v>26</v>
      </c>
      <c r="F81" t="s">
        <v>29</v>
      </c>
      <c r="G81" t="s">
        <v>20</v>
      </c>
      <c r="H81">
        <v>4</v>
      </c>
      <c r="I81">
        <v>3264</v>
      </c>
      <c r="J81">
        <v>15092</v>
      </c>
      <c r="K81">
        <v>654.24</v>
      </c>
      <c r="L81" s="3">
        <f t="shared" si="1"/>
        <v>0.20044117647058823</v>
      </c>
    </row>
    <row r="82" spans="1:12" x14ac:dyDescent="0.3">
      <c r="A82" s="5" t="s">
        <v>71</v>
      </c>
      <c r="B82" t="s">
        <v>37</v>
      </c>
      <c r="C82">
        <v>2025</v>
      </c>
      <c r="D82" t="s">
        <v>13</v>
      </c>
      <c r="E82" t="s">
        <v>14</v>
      </c>
      <c r="F82" t="s">
        <v>62</v>
      </c>
      <c r="G82" t="s">
        <v>63</v>
      </c>
      <c r="H82">
        <v>12</v>
      </c>
      <c r="I82">
        <v>9852</v>
      </c>
      <c r="J82">
        <v>5815</v>
      </c>
      <c r="K82">
        <v>2324.91</v>
      </c>
      <c r="L82" s="3">
        <f t="shared" si="1"/>
        <v>0.23598355663824602</v>
      </c>
    </row>
    <row r="83" spans="1:12" x14ac:dyDescent="0.3">
      <c r="A83" s="5" t="s">
        <v>114</v>
      </c>
      <c r="B83" t="s">
        <v>22</v>
      </c>
      <c r="C83">
        <v>2025</v>
      </c>
      <c r="D83" t="s">
        <v>23</v>
      </c>
      <c r="E83" t="s">
        <v>26</v>
      </c>
      <c r="F83" t="s">
        <v>19</v>
      </c>
      <c r="G83" t="s">
        <v>20</v>
      </c>
      <c r="H83">
        <v>5</v>
      </c>
      <c r="I83">
        <v>1185</v>
      </c>
      <c r="J83">
        <v>9424</v>
      </c>
      <c r="K83">
        <v>345.29</v>
      </c>
      <c r="L83" s="3">
        <f t="shared" si="1"/>
        <v>0.29138396624472573</v>
      </c>
    </row>
    <row r="84" spans="1:12" x14ac:dyDescent="0.3">
      <c r="A84" s="5" t="s">
        <v>106</v>
      </c>
      <c r="B84" t="s">
        <v>45</v>
      </c>
      <c r="C84">
        <v>2025</v>
      </c>
      <c r="D84" t="s">
        <v>32</v>
      </c>
      <c r="E84" t="s">
        <v>49</v>
      </c>
      <c r="F84" t="s">
        <v>42</v>
      </c>
      <c r="G84" t="s">
        <v>20</v>
      </c>
      <c r="H84">
        <v>15</v>
      </c>
      <c r="I84">
        <v>16740</v>
      </c>
      <c r="J84">
        <v>15350</v>
      </c>
      <c r="K84">
        <v>1809.79</v>
      </c>
      <c r="L84" s="3">
        <f t="shared" si="1"/>
        <v>0.10811170848267622</v>
      </c>
    </row>
    <row r="85" spans="1:12" x14ac:dyDescent="0.3">
      <c r="A85" s="5" t="s">
        <v>115</v>
      </c>
      <c r="B85" t="s">
        <v>39</v>
      </c>
      <c r="C85">
        <v>2025</v>
      </c>
      <c r="D85" t="s">
        <v>23</v>
      </c>
      <c r="E85" t="s">
        <v>28</v>
      </c>
      <c r="F85" t="s">
        <v>15</v>
      </c>
      <c r="G85" t="s">
        <v>16</v>
      </c>
      <c r="H85">
        <v>11</v>
      </c>
      <c r="I85">
        <v>16071</v>
      </c>
      <c r="J85">
        <v>16937</v>
      </c>
      <c r="K85">
        <v>2724.81</v>
      </c>
      <c r="L85" s="3">
        <f t="shared" si="1"/>
        <v>0.16954825462012321</v>
      </c>
    </row>
    <row r="86" spans="1:12" x14ac:dyDescent="0.3">
      <c r="A86" s="5" t="s">
        <v>54</v>
      </c>
      <c r="B86" t="s">
        <v>22</v>
      </c>
      <c r="C86">
        <v>2025</v>
      </c>
      <c r="D86" t="s">
        <v>23</v>
      </c>
      <c r="E86" t="s">
        <v>49</v>
      </c>
      <c r="F86" t="s">
        <v>35</v>
      </c>
      <c r="G86" t="s">
        <v>20</v>
      </c>
      <c r="H86">
        <v>12</v>
      </c>
      <c r="I86">
        <v>6888</v>
      </c>
      <c r="J86">
        <v>11251</v>
      </c>
      <c r="K86">
        <v>1601.28</v>
      </c>
      <c r="L86" s="3">
        <f t="shared" si="1"/>
        <v>0.23247386759581881</v>
      </c>
    </row>
    <row r="87" spans="1:12" x14ac:dyDescent="0.3">
      <c r="A87" s="5" t="s">
        <v>72</v>
      </c>
      <c r="B87" t="s">
        <v>12</v>
      </c>
      <c r="C87">
        <v>2025</v>
      </c>
      <c r="D87" t="s">
        <v>13</v>
      </c>
      <c r="E87" t="s">
        <v>28</v>
      </c>
      <c r="F87" t="s">
        <v>29</v>
      </c>
      <c r="G87" t="s">
        <v>20</v>
      </c>
      <c r="H87">
        <v>7</v>
      </c>
      <c r="I87">
        <v>6755</v>
      </c>
      <c r="J87">
        <v>13728</v>
      </c>
      <c r="K87">
        <v>939.55</v>
      </c>
      <c r="L87" s="3">
        <f t="shared" si="1"/>
        <v>0.13908956328645447</v>
      </c>
    </row>
    <row r="88" spans="1:12" x14ac:dyDescent="0.3">
      <c r="A88" s="5" t="s">
        <v>77</v>
      </c>
      <c r="B88" t="s">
        <v>31</v>
      </c>
      <c r="C88">
        <v>2025</v>
      </c>
      <c r="D88" t="s">
        <v>18</v>
      </c>
      <c r="E88" t="s">
        <v>49</v>
      </c>
      <c r="F88" t="s">
        <v>35</v>
      </c>
      <c r="G88" t="s">
        <v>20</v>
      </c>
      <c r="H88">
        <v>14</v>
      </c>
      <c r="I88">
        <v>6160</v>
      </c>
      <c r="J88">
        <v>5618</v>
      </c>
      <c r="K88">
        <v>1424.33</v>
      </c>
      <c r="L88" s="3">
        <f t="shared" si="1"/>
        <v>0.23122240259740259</v>
      </c>
    </row>
    <row r="89" spans="1:12" x14ac:dyDescent="0.3">
      <c r="A89" s="5" t="s">
        <v>116</v>
      </c>
      <c r="B89" t="s">
        <v>41</v>
      </c>
      <c r="C89">
        <v>2025</v>
      </c>
      <c r="D89" t="s">
        <v>18</v>
      </c>
      <c r="E89" t="s">
        <v>49</v>
      </c>
      <c r="F89" t="s">
        <v>42</v>
      </c>
      <c r="G89" t="s">
        <v>20</v>
      </c>
      <c r="H89">
        <v>1</v>
      </c>
      <c r="I89">
        <v>518</v>
      </c>
      <c r="J89">
        <v>16838</v>
      </c>
      <c r="K89">
        <v>62.89</v>
      </c>
      <c r="L89" s="3">
        <f t="shared" si="1"/>
        <v>0.12140926640926641</v>
      </c>
    </row>
    <row r="90" spans="1:12" x14ac:dyDescent="0.3">
      <c r="A90" s="5" t="s">
        <v>117</v>
      </c>
      <c r="B90" t="s">
        <v>25</v>
      </c>
      <c r="C90">
        <v>2025</v>
      </c>
      <c r="D90" t="s">
        <v>18</v>
      </c>
      <c r="E90" t="s">
        <v>26</v>
      </c>
      <c r="F90" t="s">
        <v>35</v>
      </c>
      <c r="G90" t="s">
        <v>20</v>
      </c>
      <c r="H90">
        <v>15</v>
      </c>
      <c r="I90">
        <v>9585</v>
      </c>
      <c r="J90">
        <v>5096</v>
      </c>
      <c r="K90">
        <v>1571.34</v>
      </c>
      <c r="L90" s="3">
        <f t="shared" si="1"/>
        <v>0.16393740219092331</v>
      </c>
    </row>
    <row r="91" spans="1:12" x14ac:dyDescent="0.3">
      <c r="A91" s="5" t="s">
        <v>11</v>
      </c>
      <c r="B91" t="s">
        <v>12</v>
      </c>
      <c r="C91">
        <v>2025</v>
      </c>
      <c r="D91" t="s">
        <v>13</v>
      </c>
      <c r="E91" t="s">
        <v>14</v>
      </c>
      <c r="F91" t="s">
        <v>42</v>
      </c>
      <c r="G91" t="s">
        <v>20</v>
      </c>
      <c r="H91">
        <v>11</v>
      </c>
      <c r="I91">
        <v>9229</v>
      </c>
      <c r="J91">
        <v>17015</v>
      </c>
      <c r="K91">
        <v>2672.37</v>
      </c>
      <c r="L91" s="3">
        <f t="shared" si="1"/>
        <v>0.28956224943114095</v>
      </c>
    </row>
    <row r="92" spans="1:12" x14ac:dyDescent="0.3">
      <c r="A92" s="5" t="s">
        <v>118</v>
      </c>
      <c r="B92" t="s">
        <v>31</v>
      </c>
      <c r="C92">
        <v>2025</v>
      </c>
      <c r="D92" t="s">
        <v>18</v>
      </c>
      <c r="E92" t="s">
        <v>28</v>
      </c>
      <c r="F92" t="s">
        <v>19</v>
      </c>
      <c r="G92" t="s">
        <v>20</v>
      </c>
      <c r="H92">
        <v>12</v>
      </c>
      <c r="I92">
        <v>6288</v>
      </c>
      <c r="J92">
        <v>15773</v>
      </c>
      <c r="K92">
        <v>1876.92</v>
      </c>
      <c r="L92" s="3">
        <f t="shared" si="1"/>
        <v>0.29849236641221377</v>
      </c>
    </row>
    <row r="93" spans="1:12" x14ac:dyDescent="0.3">
      <c r="A93" s="5" t="s">
        <v>119</v>
      </c>
      <c r="B93" t="s">
        <v>25</v>
      </c>
      <c r="C93">
        <v>2025</v>
      </c>
      <c r="D93" t="s">
        <v>32</v>
      </c>
      <c r="E93" t="s">
        <v>60</v>
      </c>
      <c r="F93" t="s">
        <v>29</v>
      </c>
      <c r="G93" t="s">
        <v>20</v>
      </c>
      <c r="H93">
        <v>3</v>
      </c>
      <c r="I93">
        <v>2676</v>
      </c>
      <c r="J93">
        <v>12053</v>
      </c>
      <c r="K93">
        <v>268.69</v>
      </c>
      <c r="L93" s="3">
        <f t="shared" si="1"/>
        <v>0.10040732436472347</v>
      </c>
    </row>
    <row r="94" spans="1:12" x14ac:dyDescent="0.3">
      <c r="A94" s="5" t="s">
        <v>120</v>
      </c>
      <c r="B94" t="s">
        <v>37</v>
      </c>
      <c r="C94">
        <v>2025</v>
      </c>
      <c r="D94" t="s">
        <v>23</v>
      </c>
      <c r="E94" t="s">
        <v>26</v>
      </c>
      <c r="F94" t="s">
        <v>15</v>
      </c>
      <c r="G94" t="s">
        <v>16</v>
      </c>
      <c r="H94">
        <v>10</v>
      </c>
      <c r="I94">
        <v>6100</v>
      </c>
      <c r="J94">
        <v>16492</v>
      </c>
      <c r="K94">
        <v>1332.98</v>
      </c>
      <c r="L94" s="3">
        <f t="shared" si="1"/>
        <v>0.21852131147540985</v>
      </c>
    </row>
    <row r="95" spans="1:12" x14ac:dyDescent="0.3">
      <c r="A95" s="5" t="s">
        <v>121</v>
      </c>
      <c r="B95" t="s">
        <v>12</v>
      </c>
      <c r="C95">
        <v>2025</v>
      </c>
      <c r="D95" t="s">
        <v>32</v>
      </c>
      <c r="E95" t="s">
        <v>60</v>
      </c>
      <c r="F95" t="s">
        <v>42</v>
      </c>
      <c r="G95" t="s">
        <v>20</v>
      </c>
      <c r="H95">
        <v>16</v>
      </c>
      <c r="I95">
        <v>19824</v>
      </c>
      <c r="J95">
        <v>14923</v>
      </c>
      <c r="K95">
        <v>2337.12</v>
      </c>
      <c r="L95" s="3">
        <f t="shared" si="1"/>
        <v>0.11789346246973365</v>
      </c>
    </row>
    <row r="96" spans="1:12" x14ac:dyDescent="0.3">
      <c r="A96" s="5" t="s">
        <v>122</v>
      </c>
      <c r="B96" t="s">
        <v>34</v>
      </c>
      <c r="C96">
        <v>2025</v>
      </c>
      <c r="D96" t="s">
        <v>13</v>
      </c>
      <c r="E96" t="s">
        <v>26</v>
      </c>
      <c r="F96" t="s">
        <v>29</v>
      </c>
      <c r="G96" t="s">
        <v>20</v>
      </c>
      <c r="H96">
        <v>7</v>
      </c>
      <c r="I96">
        <v>7707</v>
      </c>
      <c r="J96">
        <v>17585</v>
      </c>
      <c r="K96">
        <v>2080.1999999999998</v>
      </c>
      <c r="L96" s="3">
        <f t="shared" si="1"/>
        <v>0.26991047100038923</v>
      </c>
    </row>
    <row r="97" spans="1:12" x14ac:dyDescent="0.3">
      <c r="A97" s="5" t="s">
        <v>123</v>
      </c>
      <c r="B97" t="s">
        <v>25</v>
      </c>
      <c r="C97">
        <v>2025</v>
      </c>
      <c r="D97" t="s">
        <v>18</v>
      </c>
      <c r="E97" t="s">
        <v>26</v>
      </c>
      <c r="F97" t="s">
        <v>29</v>
      </c>
      <c r="G97" t="s">
        <v>20</v>
      </c>
      <c r="H97">
        <v>16</v>
      </c>
      <c r="I97">
        <v>3152</v>
      </c>
      <c r="J97">
        <v>8786</v>
      </c>
      <c r="K97">
        <v>860.17</v>
      </c>
      <c r="L97" s="3">
        <f t="shared" si="1"/>
        <v>0.27289657360406089</v>
      </c>
    </row>
    <row r="98" spans="1:12" x14ac:dyDescent="0.3">
      <c r="A98" s="5" t="s">
        <v>51</v>
      </c>
      <c r="B98" t="s">
        <v>41</v>
      </c>
      <c r="C98">
        <v>2025</v>
      </c>
      <c r="D98" t="s">
        <v>13</v>
      </c>
      <c r="E98" t="s">
        <v>28</v>
      </c>
      <c r="F98" t="s">
        <v>15</v>
      </c>
      <c r="G98" t="s">
        <v>16</v>
      </c>
      <c r="H98">
        <v>8</v>
      </c>
      <c r="I98">
        <v>7384</v>
      </c>
      <c r="J98">
        <v>13329</v>
      </c>
      <c r="K98">
        <v>1844.81</v>
      </c>
      <c r="L98" s="3">
        <f t="shared" si="1"/>
        <v>0.24983884073672805</v>
      </c>
    </row>
    <row r="99" spans="1:12" x14ac:dyDescent="0.3">
      <c r="A99" s="5" t="s">
        <v>124</v>
      </c>
      <c r="B99" t="s">
        <v>48</v>
      </c>
      <c r="C99">
        <v>2025</v>
      </c>
      <c r="D99" t="s">
        <v>13</v>
      </c>
      <c r="E99" t="s">
        <v>28</v>
      </c>
      <c r="F99" t="s">
        <v>62</v>
      </c>
      <c r="G99" t="s">
        <v>63</v>
      </c>
      <c r="H99">
        <v>18</v>
      </c>
      <c r="I99">
        <v>23166</v>
      </c>
      <c r="J99">
        <v>8833</v>
      </c>
      <c r="K99">
        <v>3679.09</v>
      </c>
      <c r="L99" s="3">
        <f t="shared" si="1"/>
        <v>0.15881421048087715</v>
      </c>
    </row>
    <row r="100" spans="1:12" x14ac:dyDescent="0.3">
      <c r="A100" s="5" t="s">
        <v>125</v>
      </c>
      <c r="B100" t="s">
        <v>39</v>
      </c>
      <c r="C100">
        <v>2025</v>
      </c>
      <c r="D100" t="s">
        <v>18</v>
      </c>
      <c r="E100" t="s">
        <v>60</v>
      </c>
      <c r="F100" t="s">
        <v>29</v>
      </c>
      <c r="G100" t="s">
        <v>20</v>
      </c>
      <c r="H100">
        <v>3</v>
      </c>
      <c r="I100">
        <v>1890</v>
      </c>
      <c r="J100">
        <v>7012</v>
      </c>
      <c r="K100">
        <v>316.16000000000003</v>
      </c>
      <c r="L100" s="3">
        <f t="shared" si="1"/>
        <v>0.16728042328042331</v>
      </c>
    </row>
    <row r="101" spans="1:12" x14ac:dyDescent="0.3">
      <c r="A101" s="5" t="s">
        <v>126</v>
      </c>
      <c r="B101" t="s">
        <v>34</v>
      </c>
      <c r="C101">
        <v>2025</v>
      </c>
      <c r="D101" t="s">
        <v>23</v>
      </c>
      <c r="E101" t="s">
        <v>14</v>
      </c>
      <c r="F101" t="s">
        <v>29</v>
      </c>
      <c r="G101" t="s">
        <v>20</v>
      </c>
      <c r="H101">
        <v>13</v>
      </c>
      <c r="I101">
        <v>8307</v>
      </c>
      <c r="J101">
        <v>19659</v>
      </c>
      <c r="K101">
        <v>2476.7800000000002</v>
      </c>
      <c r="L101" s="3">
        <f t="shared" si="1"/>
        <v>0.29815577224027928</v>
      </c>
    </row>
    <row r="102" spans="1:12" x14ac:dyDescent="0.3">
      <c r="A102" s="5" t="s">
        <v>127</v>
      </c>
      <c r="B102" t="s">
        <v>48</v>
      </c>
      <c r="C102">
        <v>2025</v>
      </c>
      <c r="D102" t="s">
        <v>18</v>
      </c>
      <c r="E102" t="s">
        <v>60</v>
      </c>
      <c r="F102" t="s">
        <v>29</v>
      </c>
      <c r="G102" t="s">
        <v>20</v>
      </c>
      <c r="H102">
        <v>20</v>
      </c>
      <c r="I102">
        <v>12740</v>
      </c>
      <c r="J102">
        <v>9516</v>
      </c>
      <c r="K102">
        <v>3674.69</v>
      </c>
      <c r="L102" s="3">
        <f t="shared" si="1"/>
        <v>0.28843720565149139</v>
      </c>
    </row>
    <row r="103" spans="1:12" x14ac:dyDescent="0.3">
      <c r="A103" s="5" t="s">
        <v>128</v>
      </c>
      <c r="B103" t="s">
        <v>48</v>
      </c>
      <c r="C103">
        <v>2025</v>
      </c>
      <c r="D103" t="s">
        <v>18</v>
      </c>
      <c r="E103" t="s">
        <v>26</v>
      </c>
      <c r="F103" t="s">
        <v>19</v>
      </c>
      <c r="G103" t="s">
        <v>20</v>
      </c>
      <c r="H103">
        <v>8</v>
      </c>
      <c r="I103">
        <v>6392</v>
      </c>
      <c r="J103">
        <v>19937</v>
      </c>
      <c r="K103">
        <v>933.4</v>
      </c>
      <c r="L103" s="3">
        <f t="shared" si="1"/>
        <v>0.14602628285356695</v>
      </c>
    </row>
    <row r="104" spans="1:12" x14ac:dyDescent="0.3">
      <c r="A104" s="5" t="s">
        <v>129</v>
      </c>
      <c r="B104" t="s">
        <v>34</v>
      </c>
      <c r="C104">
        <v>2025</v>
      </c>
      <c r="D104" t="s">
        <v>32</v>
      </c>
      <c r="E104" t="s">
        <v>49</v>
      </c>
      <c r="F104" t="s">
        <v>19</v>
      </c>
      <c r="G104" t="s">
        <v>20</v>
      </c>
      <c r="H104">
        <v>14</v>
      </c>
      <c r="I104">
        <v>20580</v>
      </c>
      <c r="J104">
        <v>9455</v>
      </c>
      <c r="K104">
        <v>4028.1</v>
      </c>
      <c r="L104" s="3">
        <f t="shared" si="1"/>
        <v>0.19572886297376094</v>
      </c>
    </row>
    <row r="105" spans="1:12" x14ac:dyDescent="0.3">
      <c r="A105" s="5" t="s">
        <v>130</v>
      </c>
      <c r="B105" t="s">
        <v>41</v>
      </c>
      <c r="C105">
        <v>2025</v>
      </c>
      <c r="D105" t="s">
        <v>18</v>
      </c>
      <c r="E105" t="s">
        <v>49</v>
      </c>
      <c r="F105" t="s">
        <v>42</v>
      </c>
      <c r="G105" t="s">
        <v>20</v>
      </c>
      <c r="H105">
        <v>11</v>
      </c>
      <c r="I105">
        <v>12881</v>
      </c>
      <c r="J105">
        <v>15797</v>
      </c>
      <c r="K105">
        <v>2022.2</v>
      </c>
      <c r="L105" s="3">
        <f t="shared" si="1"/>
        <v>0.15699091685428151</v>
      </c>
    </row>
    <row r="106" spans="1:12" x14ac:dyDescent="0.3">
      <c r="A106" s="5" t="s">
        <v>131</v>
      </c>
      <c r="B106" t="s">
        <v>22</v>
      </c>
      <c r="C106">
        <v>2025</v>
      </c>
      <c r="D106" t="s">
        <v>23</v>
      </c>
      <c r="E106" t="s">
        <v>26</v>
      </c>
      <c r="F106" t="s">
        <v>29</v>
      </c>
      <c r="G106" t="s">
        <v>20</v>
      </c>
      <c r="H106">
        <v>13</v>
      </c>
      <c r="I106">
        <v>5057</v>
      </c>
      <c r="J106">
        <v>13426</v>
      </c>
      <c r="K106">
        <v>1230.27</v>
      </c>
      <c r="L106" s="3">
        <f t="shared" si="1"/>
        <v>0.24328060114692504</v>
      </c>
    </row>
    <row r="107" spans="1:12" x14ac:dyDescent="0.3">
      <c r="A107" s="5" t="s">
        <v>132</v>
      </c>
      <c r="B107" t="s">
        <v>31</v>
      </c>
      <c r="C107">
        <v>2025</v>
      </c>
      <c r="D107" t="s">
        <v>18</v>
      </c>
      <c r="E107" t="s">
        <v>14</v>
      </c>
      <c r="F107" t="s">
        <v>35</v>
      </c>
      <c r="G107" t="s">
        <v>20</v>
      </c>
      <c r="H107">
        <v>9</v>
      </c>
      <c r="I107">
        <v>9657</v>
      </c>
      <c r="J107">
        <v>14360</v>
      </c>
      <c r="K107">
        <v>1236.1500000000001</v>
      </c>
      <c r="L107" s="3">
        <f t="shared" si="1"/>
        <v>0.12800559179869525</v>
      </c>
    </row>
    <row r="108" spans="1:12" x14ac:dyDescent="0.3">
      <c r="A108" s="5" t="s">
        <v>133</v>
      </c>
      <c r="B108" t="s">
        <v>12</v>
      </c>
      <c r="C108">
        <v>2025</v>
      </c>
      <c r="D108" t="s">
        <v>32</v>
      </c>
      <c r="E108" t="s">
        <v>49</v>
      </c>
      <c r="F108" t="s">
        <v>35</v>
      </c>
      <c r="G108" t="s">
        <v>20</v>
      </c>
      <c r="H108">
        <v>3</v>
      </c>
      <c r="I108">
        <v>3807</v>
      </c>
      <c r="J108">
        <v>15261</v>
      </c>
      <c r="K108">
        <v>1052.43</v>
      </c>
      <c r="L108" s="3">
        <f t="shared" si="1"/>
        <v>0.2764460204885737</v>
      </c>
    </row>
    <row r="109" spans="1:12" x14ac:dyDescent="0.3">
      <c r="A109" s="5" t="s">
        <v>87</v>
      </c>
      <c r="B109" t="s">
        <v>85</v>
      </c>
      <c r="C109">
        <v>2025</v>
      </c>
      <c r="D109" t="s">
        <v>23</v>
      </c>
      <c r="E109" t="s">
        <v>26</v>
      </c>
      <c r="F109" t="s">
        <v>15</v>
      </c>
      <c r="G109" t="s">
        <v>16</v>
      </c>
      <c r="H109">
        <v>11</v>
      </c>
      <c r="I109">
        <v>8723</v>
      </c>
      <c r="J109">
        <v>5206</v>
      </c>
      <c r="K109">
        <v>1698.5</v>
      </c>
      <c r="L109" s="3">
        <f t="shared" si="1"/>
        <v>0.19471512094462914</v>
      </c>
    </row>
    <row r="110" spans="1:12" x14ac:dyDescent="0.3">
      <c r="A110" s="5" t="s">
        <v>134</v>
      </c>
      <c r="B110" t="s">
        <v>45</v>
      </c>
      <c r="C110">
        <v>2025</v>
      </c>
      <c r="D110" t="s">
        <v>18</v>
      </c>
      <c r="E110" t="s">
        <v>26</v>
      </c>
      <c r="F110" t="s">
        <v>19</v>
      </c>
      <c r="G110" t="s">
        <v>20</v>
      </c>
      <c r="H110">
        <v>16</v>
      </c>
      <c r="I110">
        <v>15904</v>
      </c>
      <c r="J110">
        <v>19479</v>
      </c>
      <c r="K110">
        <v>4590.6099999999997</v>
      </c>
      <c r="L110" s="3">
        <f t="shared" si="1"/>
        <v>0.28864499496981888</v>
      </c>
    </row>
    <row r="111" spans="1:12" x14ac:dyDescent="0.3">
      <c r="A111" s="5" t="s">
        <v>72</v>
      </c>
      <c r="B111" t="s">
        <v>12</v>
      </c>
      <c r="C111">
        <v>2025</v>
      </c>
      <c r="D111" t="s">
        <v>18</v>
      </c>
      <c r="E111" t="s">
        <v>26</v>
      </c>
      <c r="F111" t="s">
        <v>62</v>
      </c>
      <c r="G111" t="s">
        <v>63</v>
      </c>
      <c r="H111">
        <v>9</v>
      </c>
      <c r="I111">
        <v>8496</v>
      </c>
      <c r="J111">
        <v>17293</v>
      </c>
      <c r="K111">
        <v>2516.7600000000002</v>
      </c>
      <c r="L111" s="3">
        <f t="shared" si="1"/>
        <v>0.29622881355932207</v>
      </c>
    </row>
    <row r="112" spans="1:12" x14ac:dyDescent="0.3">
      <c r="A112" s="5" t="s">
        <v>135</v>
      </c>
      <c r="B112" t="s">
        <v>25</v>
      </c>
      <c r="C112">
        <v>2025</v>
      </c>
      <c r="D112" t="s">
        <v>32</v>
      </c>
      <c r="E112" t="s">
        <v>26</v>
      </c>
      <c r="F112" t="s">
        <v>29</v>
      </c>
      <c r="G112" t="s">
        <v>20</v>
      </c>
      <c r="H112">
        <v>5</v>
      </c>
      <c r="I112">
        <v>6770</v>
      </c>
      <c r="J112">
        <v>7479</v>
      </c>
      <c r="K112">
        <v>1868.75</v>
      </c>
      <c r="L112" s="3">
        <f t="shared" si="1"/>
        <v>0.27603397341211228</v>
      </c>
    </row>
    <row r="113" spans="1:12" x14ac:dyDescent="0.3">
      <c r="A113" s="5" t="s">
        <v>136</v>
      </c>
      <c r="B113" t="s">
        <v>85</v>
      </c>
      <c r="C113">
        <v>2025</v>
      </c>
      <c r="D113" t="s">
        <v>23</v>
      </c>
      <c r="E113" t="s">
        <v>49</v>
      </c>
      <c r="F113" t="s">
        <v>19</v>
      </c>
      <c r="G113" t="s">
        <v>20</v>
      </c>
      <c r="H113">
        <v>15</v>
      </c>
      <c r="I113">
        <v>7800</v>
      </c>
      <c r="J113">
        <v>16269</v>
      </c>
      <c r="K113">
        <v>1537.61</v>
      </c>
      <c r="L113" s="3">
        <f t="shared" si="1"/>
        <v>0.19712948717948717</v>
      </c>
    </row>
    <row r="114" spans="1:12" x14ac:dyDescent="0.3">
      <c r="A114" s="5" t="s">
        <v>76</v>
      </c>
      <c r="B114" t="s">
        <v>34</v>
      </c>
      <c r="C114">
        <v>2025</v>
      </c>
      <c r="D114" t="s">
        <v>13</v>
      </c>
      <c r="E114" t="s">
        <v>49</v>
      </c>
      <c r="F114" t="s">
        <v>42</v>
      </c>
      <c r="G114" t="s">
        <v>20</v>
      </c>
      <c r="H114">
        <v>7</v>
      </c>
      <c r="I114">
        <v>966</v>
      </c>
      <c r="J114">
        <v>11665</v>
      </c>
      <c r="K114">
        <v>120.79</v>
      </c>
      <c r="L114" s="3">
        <f t="shared" si="1"/>
        <v>0.12504140786749482</v>
      </c>
    </row>
    <row r="115" spans="1:12" x14ac:dyDescent="0.3">
      <c r="A115" s="5" t="s">
        <v>64</v>
      </c>
      <c r="B115" t="s">
        <v>48</v>
      </c>
      <c r="C115">
        <v>2025</v>
      </c>
      <c r="D115" t="s">
        <v>18</v>
      </c>
      <c r="E115" t="s">
        <v>28</v>
      </c>
      <c r="F115" t="s">
        <v>62</v>
      </c>
      <c r="G115" t="s">
        <v>63</v>
      </c>
      <c r="H115">
        <v>7</v>
      </c>
      <c r="I115">
        <v>1078</v>
      </c>
      <c r="J115">
        <v>13979</v>
      </c>
      <c r="K115">
        <v>114.46</v>
      </c>
      <c r="L115" s="3">
        <f t="shared" si="1"/>
        <v>0.10617810760667903</v>
      </c>
    </row>
    <row r="116" spans="1:12" x14ac:dyDescent="0.3">
      <c r="A116" s="5" t="s">
        <v>137</v>
      </c>
      <c r="B116" t="s">
        <v>57</v>
      </c>
      <c r="C116">
        <v>2025</v>
      </c>
      <c r="D116" t="s">
        <v>23</v>
      </c>
      <c r="E116" t="s">
        <v>60</v>
      </c>
      <c r="F116" t="s">
        <v>35</v>
      </c>
      <c r="G116" t="s">
        <v>20</v>
      </c>
      <c r="H116">
        <v>11</v>
      </c>
      <c r="I116">
        <v>15400</v>
      </c>
      <c r="J116">
        <v>7340</v>
      </c>
      <c r="K116">
        <v>3911.75</v>
      </c>
      <c r="L116" s="3">
        <f t="shared" si="1"/>
        <v>0.25400974025974027</v>
      </c>
    </row>
    <row r="117" spans="1:12" x14ac:dyDescent="0.3">
      <c r="A117" s="5" t="s">
        <v>96</v>
      </c>
      <c r="B117" t="s">
        <v>57</v>
      </c>
      <c r="C117">
        <v>2025</v>
      </c>
      <c r="D117" t="s">
        <v>13</v>
      </c>
      <c r="E117" t="s">
        <v>60</v>
      </c>
      <c r="F117" t="s">
        <v>62</v>
      </c>
      <c r="G117" t="s">
        <v>63</v>
      </c>
      <c r="H117">
        <v>18</v>
      </c>
      <c r="I117">
        <v>8874</v>
      </c>
      <c r="J117">
        <v>19888</v>
      </c>
      <c r="K117">
        <v>2594.65</v>
      </c>
      <c r="L117" s="3">
        <f t="shared" si="1"/>
        <v>0.29238787469010596</v>
      </c>
    </row>
    <row r="118" spans="1:12" x14ac:dyDescent="0.3">
      <c r="A118" s="5" t="s">
        <v>138</v>
      </c>
      <c r="B118" t="s">
        <v>41</v>
      </c>
      <c r="C118">
        <v>2025</v>
      </c>
      <c r="D118" t="s">
        <v>32</v>
      </c>
      <c r="E118" t="s">
        <v>26</v>
      </c>
      <c r="F118" t="s">
        <v>19</v>
      </c>
      <c r="G118" t="s">
        <v>20</v>
      </c>
      <c r="H118">
        <v>2</v>
      </c>
      <c r="I118">
        <v>596</v>
      </c>
      <c r="J118">
        <v>8676</v>
      </c>
      <c r="K118">
        <v>66.67</v>
      </c>
      <c r="L118" s="3">
        <f t="shared" si="1"/>
        <v>0.11186241610738255</v>
      </c>
    </row>
    <row r="119" spans="1:12" x14ac:dyDescent="0.3">
      <c r="A119" s="5" t="s">
        <v>139</v>
      </c>
      <c r="B119" t="s">
        <v>57</v>
      </c>
      <c r="C119">
        <v>2025</v>
      </c>
      <c r="D119" t="s">
        <v>18</v>
      </c>
      <c r="E119" t="s">
        <v>60</v>
      </c>
      <c r="F119" t="s">
        <v>19</v>
      </c>
      <c r="G119" t="s">
        <v>20</v>
      </c>
      <c r="H119">
        <v>4</v>
      </c>
      <c r="I119">
        <v>3916</v>
      </c>
      <c r="J119">
        <v>17854</v>
      </c>
      <c r="K119">
        <v>528.99</v>
      </c>
      <c r="L119" s="3">
        <f t="shared" si="1"/>
        <v>0.13508426966292136</v>
      </c>
    </row>
    <row r="120" spans="1:12" x14ac:dyDescent="0.3">
      <c r="A120" s="5" t="s">
        <v>140</v>
      </c>
      <c r="B120" t="s">
        <v>39</v>
      </c>
      <c r="C120">
        <v>2025</v>
      </c>
      <c r="D120" t="s">
        <v>32</v>
      </c>
      <c r="E120" t="s">
        <v>49</v>
      </c>
      <c r="F120" t="s">
        <v>15</v>
      </c>
      <c r="G120" t="s">
        <v>16</v>
      </c>
      <c r="H120">
        <v>8</v>
      </c>
      <c r="I120">
        <v>10640</v>
      </c>
      <c r="J120">
        <v>18313</v>
      </c>
      <c r="K120">
        <v>2169.64</v>
      </c>
      <c r="L120" s="3">
        <f t="shared" si="1"/>
        <v>0.20391353383458646</v>
      </c>
    </row>
    <row r="121" spans="1:12" x14ac:dyDescent="0.3">
      <c r="A121" s="5" t="s">
        <v>141</v>
      </c>
      <c r="B121" t="s">
        <v>37</v>
      </c>
      <c r="C121">
        <v>2025</v>
      </c>
      <c r="D121" t="s">
        <v>23</v>
      </c>
      <c r="E121" t="s">
        <v>60</v>
      </c>
      <c r="F121" t="s">
        <v>62</v>
      </c>
      <c r="G121" t="s">
        <v>63</v>
      </c>
      <c r="H121">
        <v>6</v>
      </c>
      <c r="I121">
        <v>3840</v>
      </c>
      <c r="J121">
        <v>8985</v>
      </c>
      <c r="K121">
        <v>1142.19</v>
      </c>
      <c r="L121" s="3">
        <f t="shared" si="1"/>
        <v>0.2974453125</v>
      </c>
    </row>
    <row r="122" spans="1:12" x14ac:dyDescent="0.3">
      <c r="A122" s="5" t="s">
        <v>84</v>
      </c>
      <c r="B122" t="s">
        <v>85</v>
      </c>
      <c r="C122">
        <v>2025</v>
      </c>
      <c r="D122" t="s">
        <v>13</v>
      </c>
      <c r="E122" t="s">
        <v>26</v>
      </c>
      <c r="F122" t="s">
        <v>35</v>
      </c>
      <c r="G122" t="s">
        <v>20</v>
      </c>
      <c r="H122">
        <v>15</v>
      </c>
      <c r="I122">
        <v>14985</v>
      </c>
      <c r="J122">
        <v>11374</v>
      </c>
      <c r="K122">
        <v>3809.98</v>
      </c>
      <c r="L122" s="3">
        <f t="shared" si="1"/>
        <v>0.2542529195862529</v>
      </c>
    </row>
    <row r="123" spans="1:12" x14ac:dyDescent="0.3">
      <c r="A123" s="5" t="s">
        <v>142</v>
      </c>
      <c r="B123" t="s">
        <v>25</v>
      </c>
      <c r="C123">
        <v>2025</v>
      </c>
      <c r="D123" t="s">
        <v>32</v>
      </c>
      <c r="E123" t="s">
        <v>28</v>
      </c>
      <c r="F123" t="s">
        <v>29</v>
      </c>
      <c r="G123" t="s">
        <v>20</v>
      </c>
      <c r="H123">
        <v>17</v>
      </c>
      <c r="I123">
        <v>6749</v>
      </c>
      <c r="J123">
        <v>19042</v>
      </c>
      <c r="K123">
        <v>1799.69</v>
      </c>
      <c r="L123" s="3">
        <f t="shared" si="1"/>
        <v>0.26666024596236482</v>
      </c>
    </row>
    <row r="124" spans="1:12" x14ac:dyDescent="0.3">
      <c r="A124" s="5" t="s">
        <v>143</v>
      </c>
      <c r="B124" t="s">
        <v>34</v>
      </c>
      <c r="C124">
        <v>2025</v>
      </c>
      <c r="D124" t="s">
        <v>23</v>
      </c>
      <c r="E124" t="s">
        <v>28</v>
      </c>
      <c r="F124" t="s">
        <v>42</v>
      </c>
      <c r="G124" t="s">
        <v>20</v>
      </c>
      <c r="H124">
        <v>12</v>
      </c>
      <c r="I124">
        <v>11760</v>
      </c>
      <c r="J124">
        <v>16633</v>
      </c>
      <c r="K124">
        <v>2715.76</v>
      </c>
      <c r="L124" s="3">
        <f t="shared" si="1"/>
        <v>0.23093197278911567</v>
      </c>
    </row>
    <row r="125" spans="1:12" x14ac:dyDescent="0.3">
      <c r="A125" s="5" t="s">
        <v>70</v>
      </c>
      <c r="B125" t="s">
        <v>34</v>
      </c>
      <c r="C125">
        <v>2025</v>
      </c>
      <c r="D125" t="s">
        <v>32</v>
      </c>
      <c r="E125" t="s">
        <v>26</v>
      </c>
      <c r="F125" t="s">
        <v>62</v>
      </c>
      <c r="G125" t="s">
        <v>63</v>
      </c>
      <c r="H125">
        <v>13</v>
      </c>
      <c r="I125">
        <v>2405</v>
      </c>
      <c r="J125">
        <v>17892</v>
      </c>
      <c r="K125">
        <v>517.25</v>
      </c>
      <c r="L125" s="3">
        <f t="shared" si="1"/>
        <v>0.21507276507276507</v>
      </c>
    </row>
    <row r="126" spans="1:12" x14ac:dyDescent="0.3">
      <c r="A126" s="5" t="s">
        <v>144</v>
      </c>
      <c r="B126" t="s">
        <v>12</v>
      </c>
      <c r="C126">
        <v>2025</v>
      </c>
      <c r="D126" t="s">
        <v>18</v>
      </c>
      <c r="E126" t="s">
        <v>14</v>
      </c>
      <c r="F126" t="s">
        <v>42</v>
      </c>
      <c r="G126" t="s">
        <v>20</v>
      </c>
      <c r="H126">
        <v>5</v>
      </c>
      <c r="I126">
        <v>1020</v>
      </c>
      <c r="J126">
        <v>11544</v>
      </c>
      <c r="K126">
        <v>221</v>
      </c>
      <c r="L126" s="3">
        <f t="shared" si="1"/>
        <v>0.21666666666666667</v>
      </c>
    </row>
    <row r="127" spans="1:12" x14ac:dyDescent="0.3">
      <c r="A127" s="5" t="s">
        <v>145</v>
      </c>
      <c r="B127" t="s">
        <v>34</v>
      </c>
      <c r="C127">
        <v>2025</v>
      </c>
      <c r="D127" t="s">
        <v>23</v>
      </c>
      <c r="E127" t="s">
        <v>49</v>
      </c>
      <c r="F127" t="s">
        <v>35</v>
      </c>
      <c r="G127" t="s">
        <v>20</v>
      </c>
      <c r="H127">
        <v>8</v>
      </c>
      <c r="I127">
        <v>2992</v>
      </c>
      <c r="J127">
        <v>13985</v>
      </c>
      <c r="K127">
        <v>481.46</v>
      </c>
      <c r="L127" s="3">
        <f t="shared" si="1"/>
        <v>0.16091577540106952</v>
      </c>
    </row>
    <row r="128" spans="1:12" x14ac:dyDescent="0.3">
      <c r="A128" s="5" t="s">
        <v>146</v>
      </c>
      <c r="B128" t="s">
        <v>85</v>
      </c>
      <c r="C128">
        <v>2025</v>
      </c>
      <c r="D128" t="s">
        <v>13</v>
      </c>
      <c r="E128" t="s">
        <v>28</v>
      </c>
      <c r="F128" t="s">
        <v>29</v>
      </c>
      <c r="G128" t="s">
        <v>20</v>
      </c>
      <c r="H128">
        <v>2</v>
      </c>
      <c r="I128">
        <v>1578</v>
      </c>
      <c r="J128">
        <v>18501</v>
      </c>
      <c r="K128">
        <v>272.81</v>
      </c>
      <c r="L128" s="3">
        <f t="shared" si="1"/>
        <v>0.17288339670468947</v>
      </c>
    </row>
    <row r="129" spans="1:12" x14ac:dyDescent="0.3">
      <c r="A129" s="5" t="s">
        <v>147</v>
      </c>
      <c r="B129" t="s">
        <v>57</v>
      </c>
      <c r="C129">
        <v>2025</v>
      </c>
      <c r="D129" t="s">
        <v>23</v>
      </c>
      <c r="E129" t="s">
        <v>49</v>
      </c>
      <c r="F129" t="s">
        <v>42</v>
      </c>
      <c r="G129" t="s">
        <v>20</v>
      </c>
      <c r="H129">
        <v>4</v>
      </c>
      <c r="I129">
        <v>3236</v>
      </c>
      <c r="J129">
        <v>17012</v>
      </c>
      <c r="K129">
        <v>334.05</v>
      </c>
      <c r="L129" s="3">
        <f t="shared" si="1"/>
        <v>0.10322929542645241</v>
      </c>
    </row>
    <row r="130" spans="1:12" x14ac:dyDescent="0.3">
      <c r="A130" s="5" t="s">
        <v>148</v>
      </c>
      <c r="B130" t="s">
        <v>12</v>
      </c>
      <c r="C130">
        <v>2025</v>
      </c>
      <c r="D130" t="s">
        <v>18</v>
      </c>
      <c r="E130" t="s">
        <v>14</v>
      </c>
      <c r="F130" t="s">
        <v>19</v>
      </c>
      <c r="G130" t="s">
        <v>20</v>
      </c>
      <c r="H130">
        <v>4</v>
      </c>
      <c r="I130">
        <v>1624</v>
      </c>
      <c r="J130">
        <v>13074</v>
      </c>
      <c r="K130">
        <v>410.42</v>
      </c>
      <c r="L130" s="3">
        <f t="shared" si="1"/>
        <v>0.25272167487684732</v>
      </c>
    </row>
    <row r="131" spans="1:12" x14ac:dyDescent="0.3">
      <c r="A131" s="5" t="s">
        <v>149</v>
      </c>
      <c r="B131" t="s">
        <v>41</v>
      </c>
      <c r="C131">
        <v>2025</v>
      </c>
      <c r="D131" t="s">
        <v>13</v>
      </c>
      <c r="E131" t="s">
        <v>26</v>
      </c>
      <c r="F131" t="s">
        <v>42</v>
      </c>
      <c r="G131" t="s">
        <v>20</v>
      </c>
      <c r="H131">
        <v>10</v>
      </c>
      <c r="I131">
        <v>6480</v>
      </c>
      <c r="J131">
        <v>14092</v>
      </c>
      <c r="K131">
        <v>1089.6099999999999</v>
      </c>
      <c r="L131" s="3">
        <f t="shared" ref="L131:L194" si="2">K131/I131</f>
        <v>0.16814969135802468</v>
      </c>
    </row>
    <row r="132" spans="1:12" x14ac:dyDescent="0.3">
      <c r="A132" s="5" t="s">
        <v>150</v>
      </c>
      <c r="B132" t="s">
        <v>25</v>
      </c>
      <c r="C132">
        <v>2025</v>
      </c>
      <c r="D132" t="s">
        <v>13</v>
      </c>
      <c r="E132" t="s">
        <v>26</v>
      </c>
      <c r="F132" t="s">
        <v>62</v>
      </c>
      <c r="G132" t="s">
        <v>63</v>
      </c>
      <c r="H132">
        <v>2</v>
      </c>
      <c r="I132">
        <v>1172</v>
      </c>
      <c r="J132">
        <v>10207</v>
      </c>
      <c r="K132">
        <v>326.92</v>
      </c>
      <c r="L132" s="3">
        <f t="shared" si="2"/>
        <v>0.2789419795221843</v>
      </c>
    </row>
    <row r="133" spans="1:12" x14ac:dyDescent="0.3">
      <c r="A133" s="5" t="s">
        <v>135</v>
      </c>
      <c r="B133" t="s">
        <v>25</v>
      </c>
      <c r="C133">
        <v>2025</v>
      </c>
      <c r="D133" t="s">
        <v>32</v>
      </c>
      <c r="E133" t="s">
        <v>49</v>
      </c>
      <c r="F133" t="s">
        <v>42</v>
      </c>
      <c r="G133" t="s">
        <v>20</v>
      </c>
      <c r="H133">
        <v>12</v>
      </c>
      <c r="I133">
        <v>13596</v>
      </c>
      <c r="J133">
        <v>6876</v>
      </c>
      <c r="K133">
        <v>3219.1</v>
      </c>
      <c r="L133" s="3">
        <f t="shared" si="2"/>
        <v>0.23676816710797294</v>
      </c>
    </row>
    <row r="134" spans="1:12" x14ac:dyDescent="0.3">
      <c r="A134" s="5" t="s">
        <v>151</v>
      </c>
      <c r="B134" t="s">
        <v>57</v>
      </c>
      <c r="C134">
        <v>2025</v>
      </c>
      <c r="D134" t="s">
        <v>23</v>
      </c>
      <c r="E134" t="s">
        <v>26</v>
      </c>
      <c r="F134" t="s">
        <v>19</v>
      </c>
      <c r="G134" t="s">
        <v>20</v>
      </c>
      <c r="H134">
        <v>10</v>
      </c>
      <c r="I134">
        <v>10330</v>
      </c>
      <c r="J134">
        <v>7429</v>
      </c>
      <c r="K134">
        <v>1531.98</v>
      </c>
      <c r="L134" s="3">
        <f t="shared" si="2"/>
        <v>0.14830396902226525</v>
      </c>
    </row>
    <row r="135" spans="1:12" x14ac:dyDescent="0.3">
      <c r="A135" s="5" t="s">
        <v>152</v>
      </c>
      <c r="B135" t="s">
        <v>31</v>
      </c>
      <c r="C135">
        <v>2025</v>
      </c>
      <c r="D135" t="s">
        <v>18</v>
      </c>
      <c r="E135" t="s">
        <v>28</v>
      </c>
      <c r="F135" t="s">
        <v>19</v>
      </c>
      <c r="G135" t="s">
        <v>20</v>
      </c>
      <c r="H135">
        <v>14</v>
      </c>
      <c r="I135">
        <v>7546</v>
      </c>
      <c r="J135">
        <v>9956</v>
      </c>
      <c r="K135">
        <v>1693.67</v>
      </c>
      <c r="L135" s="3">
        <f t="shared" si="2"/>
        <v>0.2244460641399417</v>
      </c>
    </row>
    <row r="136" spans="1:12" x14ac:dyDescent="0.3">
      <c r="A136" s="5" t="s">
        <v>111</v>
      </c>
      <c r="B136" t="s">
        <v>34</v>
      </c>
      <c r="C136">
        <v>2025</v>
      </c>
      <c r="D136" t="s">
        <v>32</v>
      </c>
      <c r="E136" t="s">
        <v>28</v>
      </c>
      <c r="F136" t="s">
        <v>29</v>
      </c>
      <c r="G136" t="s">
        <v>20</v>
      </c>
      <c r="H136">
        <v>19</v>
      </c>
      <c r="I136">
        <v>26144</v>
      </c>
      <c r="J136">
        <v>19565</v>
      </c>
      <c r="K136">
        <v>7064.89</v>
      </c>
      <c r="L136" s="3">
        <f t="shared" si="2"/>
        <v>0.27022988066095471</v>
      </c>
    </row>
    <row r="137" spans="1:12" x14ac:dyDescent="0.3">
      <c r="A137" s="5" t="s">
        <v>153</v>
      </c>
      <c r="B137" t="s">
        <v>31</v>
      </c>
      <c r="C137">
        <v>2025</v>
      </c>
      <c r="D137" t="s">
        <v>13</v>
      </c>
      <c r="E137" t="s">
        <v>49</v>
      </c>
      <c r="F137" t="s">
        <v>19</v>
      </c>
      <c r="G137" t="s">
        <v>20</v>
      </c>
      <c r="H137">
        <v>9</v>
      </c>
      <c r="I137">
        <v>1170</v>
      </c>
      <c r="J137">
        <v>14076</v>
      </c>
      <c r="K137">
        <v>263.51</v>
      </c>
      <c r="L137" s="3">
        <f t="shared" si="2"/>
        <v>0.22522222222222221</v>
      </c>
    </row>
    <row r="138" spans="1:12" x14ac:dyDescent="0.3">
      <c r="A138" s="5" t="s">
        <v>154</v>
      </c>
      <c r="B138" t="s">
        <v>45</v>
      </c>
      <c r="C138">
        <v>2025</v>
      </c>
      <c r="D138" t="s">
        <v>23</v>
      </c>
      <c r="E138" t="s">
        <v>49</v>
      </c>
      <c r="F138" t="s">
        <v>35</v>
      </c>
      <c r="G138" t="s">
        <v>20</v>
      </c>
      <c r="H138">
        <v>5</v>
      </c>
      <c r="I138">
        <v>5985</v>
      </c>
      <c r="J138">
        <v>14754</v>
      </c>
      <c r="K138">
        <v>1508.43</v>
      </c>
      <c r="L138" s="3">
        <f t="shared" si="2"/>
        <v>0.25203508771929828</v>
      </c>
    </row>
    <row r="139" spans="1:12" x14ac:dyDescent="0.3">
      <c r="A139" s="5" t="s">
        <v>90</v>
      </c>
      <c r="B139" t="s">
        <v>57</v>
      </c>
      <c r="C139">
        <v>2025</v>
      </c>
      <c r="D139" t="s">
        <v>18</v>
      </c>
      <c r="E139" t="s">
        <v>49</v>
      </c>
      <c r="F139" t="s">
        <v>42</v>
      </c>
      <c r="G139" t="s">
        <v>20</v>
      </c>
      <c r="H139">
        <v>19</v>
      </c>
      <c r="I139">
        <v>18639</v>
      </c>
      <c r="J139">
        <v>17402</v>
      </c>
      <c r="K139">
        <v>2037.52</v>
      </c>
      <c r="L139" s="3">
        <f t="shared" si="2"/>
        <v>0.10931487740758625</v>
      </c>
    </row>
    <row r="140" spans="1:12" x14ac:dyDescent="0.3">
      <c r="A140" s="5" t="s">
        <v>155</v>
      </c>
      <c r="B140" t="s">
        <v>85</v>
      </c>
      <c r="C140">
        <v>2025</v>
      </c>
      <c r="D140" t="s">
        <v>32</v>
      </c>
      <c r="E140" t="s">
        <v>49</v>
      </c>
      <c r="F140" t="s">
        <v>42</v>
      </c>
      <c r="G140" t="s">
        <v>20</v>
      </c>
      <c r="H140">
        <v>14</v>
      </c>
      <c r="I140">
        <v>9842</v>
      </c>
      <c r="J140">
        <v>7914</v>
      </c>
      <c r="K140">
        <v>1154.51</v>
      </c>
      <c r="L140" s="3">
        <f t="shared" si="2"/>
        <v>0.11730440967283072</v>
      </c>
    </row>
    <row r="141" spans="1:12" x14ac:dyDescent="0.3">
      <c r="A141" s="5" t="s">
        <v>156</v>
      </c>
      <c r="B141" t="s">
        <v>48</v>
      </c>
      <c r="C141">
        <v>2025</v>
      </c>
      <c r="D141" t="s">
        <v>32</v>
      </c>
      <c r="E141" t="s">
        <v>26</v>
      </c>
      <c r="F141" t="s">
        <v>15</v>
      </c>
      <c r="G141" t="s">
        <v>16</v>
      </c>
      <c r="H141">
        <v>20</v>
      </c>
      <c r="I141">
        <v>15200</v>
      </c>
      <c r="J141">
        <v>10301</v>
      </c>
      <c r="K141">
        <v>1767.76</v>
      </c>
      <c r="L141" s="3">
        <f t="shared" si="2"/>
        <v>0.1163</v>
      </c>
    </row>
    <row r="142" spans="1:12" x14ac:dyDescent="0.3">
      <c r="A142" s="5" t="s">
        <v>157</v>
      </c>
      <c r="B142" t="s">
        <v>34</v>
      </c>
      <c r="C142">
        <v>2025</v>
      </c>
      <c r="D142" t="s">
        <v>13</v>
      </c>
      <c r="E142" t="s">
        <v>14</v>
      </c>
      <c r="F142" t="s">
        <v>15</v>
      </c>
      <c r="G142" t="s">
        <v>16</v>
      </c>
      <c r="H142">
        <v>11</v>
      </c>
      <c r="I142">
        <v>2904</v>
      </c>
      <c r="J142">
        <v>12849</v>
      </c>
      <c r="K142">
        <v>535.53</v>
      </c>
      <c r="L142" s="3">
        <f t="shared" si="2"/>
        <v>0.18441115702479338</v>
      </c>
    </row>
    <row r="143" spans="1:12" x14ac:dyDescent="0.3">
      <c r="A143" s="5" t="s">
        <v>158</v>
      </c>
      <c r="B143" t="s">
        <v>22</v>
      </c>
      <c r="C143">
        <v>2025</v>
      </c>
      <c r="D143" t="s">
        <v>23</v>
      </c>
      <c r="E143" t="s">
        <v>14</v>
      </c>
      <c r="F143" t="s">
        <v>42</v>
      </c>
      <c r="G143" t="s">
        <v>20</v>
      </c>
      <c r="H143">
        <v>9</v>
      </c>
      <c r="I143">
        <v>8181</v>
      </c>
      <c r="J143">
        <v>9830</v>
      </c>
      <c r="K143">
        <v>1373.71</v>
      </c>
      <c r="L143" s="3">
        <f t="shared" si="2"/>
        <v>0.16791468035692458</v>
      </c>
    </row>
    <row r="144" spans="1:12" x14ac:dyDescent="0.3">
      <c r="A144" s="5" t="s">
        <v>159</v>
      </c>
      <c r="B144" t="s">
        <v>12</v>
      </c>
      <c r="C144">
        <v>2025</v>
      </c>
      <c r="D144" t="s">
        <v>13</v>
      </c>
      <c r="E144" t="s">
        <v>60</v>
      </c>
      <c r="F144" t="s">
        <v>15</v>
      </c>
      <c r="G144" t="s">
        <v>16</v>
      </c>
      <c r="H144">
        <v>14</v>
      </c>
      <c r="I144">
        <v>10206</v>
      </c>
      <c r="J144">
        <v>19308</v>
      </c>
      <c r="K144">
        <v>1593.95</v>
      </c>
      <c r="L144" s="3">
        <f t="shared" si="2"/>
        <v>0.156177738585146</v>
      </c>
    </row>
    <row r="145" spans="1:12" x14ac:dyDescent="0.3">
      <c r="A145" s="5" t="s">
        <v>40</v>
      </c>
      <c r="B145" t="s">
        <v>41</v>
      </c>
      <c r="C145">
        <v>2025</v>
      </c>
      <c r="D145" t="s">
        <v>32</v>
      </c>
      <c r="E145" t="s">
        <v>14</v>
      </c>
      <c r="F145" t="s">
        <v>29</v>
      </c>
      <c r="G145" t="s">
        <v>20</v>
      </c>
      <c r="H145">
        <v>16</v>
      </c>
      <c r="I145">
        <v>2576</v>
      </c>
      <c r="J145">
        <v>14861</v>
      </c>
      <c r="K145">
        <v>647.97</v>
      </c>
      <c r="L145" s="3">
        <f t="shared" si="2"/>
        <v>0.25154114906832298</v>
      </c>
    </row>
    <row r="146" spans="1:12" x14ac:dyDescent="0.3">
      <c r="A146" s="5" t="s">
        <v>160</v>
      </c>
      <c r="B146" t="s">
        <v>25</v>
      </c>
      <c r="C146">
        <v>2025</v>
      </c>
      <c r="D146" t="s">
        <v>13</v>
      </c>
      <c r="E146" t="s">
        <v>49</v>
      </c>
      <c r="F146" t="s">
        <v>29</v>
      </c>
      <c r="G146" t="s">
        <v>20</v>
      </c>
      <c r="H146">
        <v>14</v>
      </c>
      <c r="I146">
        <v>16562</v>
      </c>
      <c r="J146">
        <v>14113</v>
      </c>
      <c r="K146">
        <v>3014.25</v>
      </c>
      <c r="L146" s="3">
        <f t="shared" si="2"/>
        <v>0.1819979471078372</v>
      </c>
    </row>
    <row r="147" spans="1:12" x14ac:dyDescent="0.3">
      <c r="A147" s="5" t="s">
        <v>161</v>
      </c>
      <c r="B147" t="s">
        <v>48</v>
      </c>
      <c r="C147">
        <v>2025</v>
      </c>
      <c r="D147" t="s">
        <v>23</v>
      </c>
      <c r="E147" t="s">
        <v>49</v>
      </c>
      <c r="F147" t="s">
        <v>29</v>
      </c>
      <c r="G147" t="s">
        <v>20</v>
      </c>
      <c r="H147">
        <v>15</v>
      </c>
      <c r="I147">
        <v>14835</v>
      </c>
      <c r="J147">
        <v>13020</v>
      </c>
      <c r="K147">
        <v>1730.35</v>
      </c>
      <c r="L147" s="3">
        <f t="shared" si="2"/>
        <v>0.11663970340411189</v>
      </c>
    </row>
    <row r="148" spans="1:12" x14ac:dyDescent="0.3">
      <c r="A148" s="5" t="s">
        <v>162</v>
      </c>
      <c r="B148" t="s">
        <v>25</v>
      </c>
      <c r="C148">
        <v>2025</v>
      </c>
      <c r="D148" t="s">
        <v>18</v>
      </c>
      <c r="E148" t="s">
        <v>26</v>
      </c>
      <c r="F148" t="s">
        <v>62</v>
      </c>
      <c r="G148" t="s">
        <v>63</v>
      </c>
      <c r="H148">
        <v>2</v>
      </c>
      <c r="I148">
        <v>856</v>
      </c>
      <c r="J148">
        <v>5134</v>
      </c>
      <c r="K148">
        <v>145.41</v>
      </c>
      <c r="L148" s="3">
        <f t="shared" si="2"/>
        <v>0.1698714953271028</v>
      </c>
    </row>
    <row r="149" spans="1:12" x14ac:dyDescent="0.3">
      <c r="A149" s="5" t="s">
        <v>56</v>
      </c>
      <c r="B149" t="s">
        <v>57</v>
      </c>
      <c r="C149">
        <v>2025</v>
      </c>
      <c r="D149" t="s">
        <v>18</v>
      </c>
      <c r="E149" t="s">
        <v>26</v>
      </c>
      <c r="F149" t="s">
        <v>35</v>
      </c>
      <c r="G149" t="s">
        <v>20</v>
      </c>
      <c r="H149">
        <v>19</v>
      </c>
      <c r="I149">
        <v>23009</v>
      </c>
      <c r="J149">
        <v>7904</v>
      </c>
      <c r="K149">
        <v>6523.36</v>
      </c>
      <c r="L149" s="3">
        <f t="shared" si="2"/>
        <v>0.283513407796949</v>
      </c>
    </row>
    <row r="150" spans="1:12" x14ac:dyDescent="0.3">
      <c r="A150" s="5" t="s">
        <v>64</v>
      </c>
      <c r="B150" t="s">
        <v>48</v>
      </c>
      <c r="C150">
        <v>2025</v>
      </c>
      <c r="D150" t="s">
        <v>32</v>
      </c>
      <c r="E150" t="s">
        <v>28</v>
      </c>
      <c r="F150" t="s">
        <v>29</v>
      </c>
      <c r="G150" t="s">
        <v>20</v>
      </c>
      <c r="H150">
        <v>16</v>
      </c>
      <c r="I150">
        <v>4176</v>
      </c>
      <c r="J150">
        <v>10281</v>
      </c>
      <c r="K150">
        <v>694.24</v>
      </c>
      <c r="L150" s="3">
        <f t="shared" si="2"/>
        <v>0.16624521072796936</v>
      </c>
    </row>
    <row r="151" spans="1:12" x14ac:dyDescent="0.3">
      <c r="A151" s="5" t="s">
        <v>163</v>
      </c>
      <c r="B151" t="s">
        <v>41</v>
      </c>
      <c r="C151">
        <v>2025</v>
      </c>
      <c r="D151" t="s">
        <v>23</v>
      </c>
      <c r="E151" t="s">
        <v>14</v>
      </c>
      <c r="F151" t="s">
        <v>15</v>
      </c>
      <c r="G151" t="s">
        <v>16</v>
      </c>
      <c r="H151">
        <v>16</v>
      </c>
      <c r="I151">
        <v>6464</v>
      </c>
      <c r="J151">
        <v>6516</v>
      </c>
      <c r="K151">
        <v>1855.73</v>
      </c>
      <c r="L151" s="3">
        <f t="shared" si="2"/>
        <v>0.28708694306930693</v>
      </c>
    </row>
    <row r="152" spans="1:12" x14ac:dyDescent="0.3">
      <c r="A152" s="5" t="s">
        <v>164</v>
      </c>
      <c r="B152" t="s">
        <v>45</v>
      </c>
      <c r="C152">
        <v>2025</v>
      </c>
      <c r="D152" t="s">
        <v>32</v>
      </c>
      <c r="E152" t="s">
        <v>60</v>
      </c>
      <c r="F152" t="s">
        <v>62</v>
      </c>
      <c r="G152" t="s">
        <v>63</v>
      </c>
      <c r="H152">
        <v>7</v>
      </c>
      <c r="I152">
        <v>8862</v>
      </c>
      <c r="J152">
        <v>13552</v>
      </c>
      <c r="K152">
        <v>1946.87</v>
      </c>
      <c r="L152" s="3">
        <f t="shared" si="2"/>
        <v>0.21968742947415931</v>
      </c>
    </row>
    <row r="153" spans="1:12" x14ac:dyDescent="0.3">
      <c r="A153" s="5" t="s">
        <v>107</v>
      </c>
      <c r="B153" t="s">
        <v>12</v>
      </c>
      <c r="C153">
        <v>2025</v>
      </c>
      <c r="D153" t="s">
        <v>32</v>
      </c>
      <c r="E153" t="s">
        <v>49</v>
      </c>
      <c r="F153" t="s">
        <v>19</v>
      </c>
      <c r="G153" t="s">
        <v>20</v>
      </c>
      <c r="H153">
        <v>16</v>
      </c>
      <c r="I153">
        <v>19200</v>
      </c>
      <c r="J153">
        <v>10249</v>
      </c>
      <c r="K153">
        <v>2268.42</v>
      </c>
      <c r="L153" s="3">
        <f t="shared" si="2"/>
        <v>0.118146875</v>
      </c>
    </row>
    <row r="154" spans="1:12" x14ac:dyDescent="0.3">
      <c r="A154" s="5" t="s">
        <v>17</v>
      </c>
      <c r="B154" t="s">
        <v>12</v>
      </c>
      <c r="C154">
        <v>2025</v>
      </c>
      <c r="D154" t="s">
        <v>32</v>
      </c>
      <c r="E154" t="s">
        <v>49</v>
      </c>
      <c r="F154" t="s">
        <v>29</v>
      </c>
      <c r="G154" t="s">
        <v>20</v>
      </c>
      <c r="H154">
        <v>12</v>
      </c>
      <c r="I154">
        <v>17868</v>
      </c>
      <c r="J154">
        <v>12146</v>
      </c>
      <c r="K154">
        <v>4072.94</v>
      </c>
      <c r="L154" s="3">
        <f t="shared" si="2"/>
        <v>0.22794604880232819</v>
      </c>
    </row>
    <row r="155" spans="1:12" x14ac:dyDescent="0.3">
      <c r="A155" s="5" t="s">
        <v>165</v>
      </c>
      <c r="B155" t="s">
        <v>22</v>
      </c>
      <c r="C155">
        <v>2025</v>
      </c>
      <c r="D155" t="s">
        <v>32</v>
      </c>
      <c r="E155" t="s">
        <v>60</v>
      </c>
      <c r="F155" t="s">
        <v>42</v>
      </c>
      <c r="G155" t="s">
        <v>20</v>
      </c>
      <c r="H155">
        <v>11</v>
      </c>
      <c r="I155">
        <v>15180</v>
      </c>
      <c r="J155">
        <v>15987</v>
      </c>
      <c r="K155">
        <v>2586.14</v>
      </c>
      <c r="L155" s="3">
        <f t="shared" si="2"/>
        <v>0.17036495388669301</v>
      </c>
    </row>
    <row r="156" spans="1:12" x14ac:dyDescent="0.3">
      <c r="A156" s="5" t="s">
        <v>166</v>
      </c>
      <c r="B156" t="s">
        <v>85</v>
      </c>
      <c r="C156">
        <v>2025</v>
      </c>
      <c r="D156" t="s">
        <v>18</v>
      </c>
      <c r="E156" t="s">
        <v>49</v>
      </c>
      <c r="F156" t="s">
        <v>15</v>
      </c>
      <c r="G156" t="s">
        <v>16</v>
      </c>
      <c r="H156">
        <v>3</v>
      </c>
      <c r="I156">
        <v>3420</v>
      </c>
      <c r="J156">
        <v>16855</v>
      </c>
      <c r="K156">
        <v>833.32</v>
      </c>
      <c r="L156" s="3">
        <f t="shared" si="2"/>
        <v>0.2436608187134503</v>
      </c>
    </row>
    <row r="157" spans="1:12" x14ac:dyDescent="0.3">
      <c r="A157" s="5" t="s">
        <v>167</v>
      </c>
      <c r="B157" t="s">
        <v>45</v>
      </c>
      <c r="C157">
        <v>2025</v>
      </c>
      <c r="D157" t="s">
        <v>13</v>
      </c>
      <c r="E157" t="s">
        <v>60</v>
      </c>
      <c r="F157" t="s">
        <v>15</v>
      </c>
      <c r="G157" t="s">
        <v>16</v>
      </c>
      <c r="H157">
        <v>7</v>
      </c>
      <c r="I157">
        <v>3290</v>
      </c>
      <c r="J157">
        <v>12433</v>
      </c>
      <c r="K157">
        <v>891.13</v>
      </c>
      <c r="L157" s="3">
        <f t="shared" si="2"/>
        <v>0.27086018237082066</v>
      </c>
    </row>
    <row r="158" spans="1:12" x14ac:dyDescent="0.3">
      <c r="A158" s="5" t="s">
        <v>168</v>
      </c>
      <c r="B158" t="s">
        <v>34</v>
      </c>
      <c r="C158">
        <v>2025</v>
      </c>
      <c r="D158" t="s">
        <v>23</v>
      </c>
      <c r="E158" t="s">
        <v>49</v>
      </c>
      <c r="F158" t="s">
        <v>15</v>
      </c>
      <c r="G158" t="s">
        <v>16</v>
      </c>
      <c r="H158">
        <v>8</v>
      </c>
      <c r="I158">
        <v>5416</v>
      </c>
      <c r="J158">
        <v>17440</v>
      </c>
      <c r="K158">
        <v>979.95</v>
      </c>
      <c r="L158" s="3">
        <f t="shared" si="2"/>
        <v>0.18093611521418021</v>
      </c>
    </row>
    <row r="159" spans="1:12" x14ac:dyDescent="0.3">
      <c r="A159" s="5" t="s">
        <v>75</v>
      </c>
      <c r="B159" t="s">
        <v>31</v>
      </c>
      <c r="C159">
        <v>2025</v>
      </c>
      <c r="D159" t="s">
        <v>13</v>
      </c>
      <c r="E159" t="s">
        <v>28</v>
      </c>
      <c r="F159" t="s">
        <v>15</v>
      </c>
      <c r="G159" t="s">
        <v>16</v>
      </c>
      <c r="H159">
        <v>8</v>
      </c>
      <c r="I159">
        <v>10760</v>
      </c>
      <c r="J159">
        <v>16463</v>
      </c>
      <c r="K159">
        <v>1577.88</v>
      </c>
      <c r="L159" s="3">
        <f t="shared" si="2"/>
        <v>0.14664312267657995</v>
      </c>
    </row>
    <row r="160" spans="1:12" x14ac:dyDescent="0.3">
      <c r="A160" s="5" t="s">
        <v>169</v>
      </c>
      <c r="B160" t="s">
        <v>34</v>
      </c>
      <c r="C160">
        <v>2025</v>
      </c>
      <c r="D160" t="s">
        <v>13</v>
      </c>
      <c r="E160" t="s">
        <v>60</v>
      </c>
      <c r="F160" t="s">
        <v>19</v>
      </c>
      <c r="G160" t="s">
        <v>20</v>
      </c>
      <c r="H160">
        <v>11</v>
      </c>
      <c r="I160">
        <v>1331</v>
      </c>
      <c r="J160">
        <v>16830</v>
      </c>
      <c r="K160">
        <v>261.23</v>
      </c>
      <c r="L160" s="3">
        <f t="shared" si="2"/>
        <v>0.19626596543951919</v>
      </c>
    </row>
    <row r="161" spans="1:12" x14ac:dyDescent="0.3">
      <c r="A161" s="5" t="s">
        <v>170</v>
      </c>
      <c r="B161" t="s">
        <v>48</v>
      </c>
      <c r="C161">
        <v>2025</v>
      </c>
      <c r="D161" t="s">
        <v>18</v>
      </c>
      <c r="E161" t="s">
        <v>28</v>
      </c>
      <c r="F161" t="s">
        <v>42</v>
      </c>
      <c r="G161" t="s">
        <v>20</v>
      </c>
      <c r="H161">
        <v>2</v>
      </c>
      <c r="I161">
        <v>1796</v>
      </c>
      <c r="J161">
        <v>6363</v>
      </c>
      <c r="K161">
        <v>334.63</v>
      </c>
      <c r="L161" s="3">
        <f t="shared" si="2"/>
        <v>0.1863195991091314</v>
      </c>
    </row>
    <row r="162" spans="1:12" x14ac:dyDescent="0.3">
      <c r="A162" s="5" t="s">
        <v>146</v>
      </c>
      <c r="B162" t="s">
        <v>85</v>
      </c>
      <c r="C162">
        <v>2025</v>
      </c>
      <c r="D162" t="s">
        <v>23</v>
      </c>
      <c r="E162" t="s">
        <v>49</v>
      </c>
      <c r="F162" t="s">
        <v>19</v>
      </c>
      <c r="G162" t="s">
        <v>20</v>
      </c>
      <c r="H162">
        <v>12</v>
      </c>
      <c r="I162">
        <v>5820</v>
      </c>
      <c r="J162">
        <v>15409</v>
      </c>
      <c r="K162">
        <v>993.49</v>
      </c>
      <c r="L162" s="3">
        <f t="shared" si="2"/>
        <v>0.17070274914089348</v>
      </c>
    </row>
    <row r="163" spans="1:12" x14ac:dyDescent="0.3">
      <c r="A163" s="5" t="s">
        <v>171</v>
      </c>
      <c r="B163" t="s">
        <v>85</v>
      </c>
      <c r="C163">
        <v>2025</v>
      </c>
      <c r="D163" t="s">
        <v>23</v>
      </c>
      <c r="E163" t="s">
        <v>60</v>
      </c>
      <c r="F163" t="s">
        <v>29</v>
      </c>
      <c r="G163" t="s">
        <v>20</v>
      </c>
      <c r="H163">
        <v>3</v>
      </c>
      <c r="I163">
        <v>2385</v>
      </c>
      <c r="J163">
        <v>11262</v>
      </c>
      <c r="K163">
        <v>648.29</v>
      </c>
      <c r="L163" s="3">
        <f t="shared" si="2"/>
        <v>0.27181970649895176</v>
      </c>
    </row>
    <row r="164" spans="1:12" x14ac:dyDescent="0.3">
      <c r="A164" s="5" t="s">
        <v>172</v>
      </c>
      <c r="B164" t="s">
        <v>22</v>
      </c>
      <c r="C164">
        <v>2025</v>
      </c>
      <c r="D164" t="s">
        <v>23</v>
      </c>
      <c r="E164" t="s">
        <v>14</v>
      </c>
      <c r="F164" t="s">
        <v>19</v>
      </c>
      <c r="G164" t="s">
        <v>20</v>
      </c>
      <c r="H164">
        <v>13</v>
      </c>
      <c r="I164">
        <v>18213</v>
      </c>
      <c r="J164">
        <v>13735</v>
      </c>
      <c r="K164">
        <v>3341.5</v>
      </c>
      <c r="L164" s="3">
        <f t="shared" si="2"/>
        <v>0.18346785263273485</v>
      </c>
    </row>
    <row r="165" spans="1:12" x14ac:dyDescent="0.3">
      <c r="A165" s="5" t="s">
        <v>173</v>
      </c>
      <c r="B165" t="s">
        <v>31</v>
      </c>
      <c r="C165">
        <v>2025</v>
      </c>
      <c r="D165" t="s">
        <v>13</v>
      </c>
      <c r="E165" t="s">
        <v>60</v>
      </c>
      <c r="F165" t="s">
        <v>35</v>
      </c>
      <c r="G165" t="s">
        <v>20</v>
      </c>
      <c r="H165">
        <v>17</v>
      </c>
      <c r="I165">
        <v>6052</v>
      </c>
      <c r="J165">
        <v>15322</v>
      </c>
      <c r="K165">
        <v>857.05</v>
      </c>
      <c r="L165" s="3">
        <f t="shared" si="2"/>
        <v>0.14161434236615994</v>
      </c>
    </row>
    <row r="166" spans="1:12" x14ac:dyDescent="0.3">
      <c r="A166" s="5" t="s">
        <v>174</v>
      </c>
      <c r="B166" t="s">
        <v>48</v>
      </c>
      <c r="C166">
        <v>2025</v>
      </c>
      <c r="D166" t="s">
        <v>18</v>
      </c>
      <c r="E166" t="s">
        <v>28</v>
      </c>
      <c r="F166" t="s">
        <v>62</v>
      </c>
      <c r="G166" t="s">
        <v>63</v>
      </c>
      <c r="H166">
        <v>19</v>
      </c>
      <c r="I166">
        <v>27911</v>
      </c>
      <c r="J166">
        <v>11818</v>
      </c>
      <c r="K166">
        <v>7857</v>
      </c>
      <c r="L166" s="3">
        <f t="shared" si="2"/>
        <v>0.28150191680699366</v>
      </c>
    </row>
    <row r="167" spans="1:12" x14ac:dyDescent="0.3">
      <c r="A167" s="5" t="s">
        <v>175</v>
      </c>
      <c r="B167" t="s">
        <v>48</v>
      </c>
      <c r="C167">
        <v>2025</v>
      </c>
      <c r="D167" t="s">
        <v>32</v>
      </c>
      <c r="E167" t="s">
        <v>49</v>
      </c>
      <c r="F167" t="s">
        <v>15</v>
      </c>
      <c r="G167" t="s">
        <v>16</v>
      </c>
      <c r="H167">
        <v>15</v>
      </c>
      <c r="I167">
        <v>7830</v>
      </c>
      <c r="J167">
        <v>12272</v>
      </c>
      <c r="K167">
        <v>1628.43</v>
      </c>
      <c r="L167" s="3">
        <f t="shared" si="2"/>
        <v>0.20797318007662835</v>
      </c>
    </row>
    <row r="168" spans="1:12" x14ac:dyDescent="0.3">
      <c r="A168" s="5" t="s">
        <v>176</v>
      </c>
      <c r="B168" t="s">
        <v>37</v>
      </c>
      <c r="C168">
        <v>2025</v>
      </c>
      <c r="D168" t="s">
        <v>13</v>
      </c>
      <c r="E168" t="s">
        <v>49</v>
      </c>
      <c r="F168" t="s">
        <v>15</v>
      </c>
      <c r="G168" t="s">
        <v>16</v>
      </c>
      <c r="H168">
        <v>4</v>
      </c>
      <c r="I168">
        <v>1232</v>
      </c>
      <c r="J168">
        <v>14389</v>
      </c>
      <c r="K168">
        <v>221.74</v>
      </c>
      <c r="L168" s="3">
        <f t="shared" si="2"/>
        <v>0.17998376623376625</v>
      </c>
    </row>
    <row r="169" spans="1:12" x14ac:dyDescent="0.3">
      <c r="A169" s="5" t="s">
        <v>177</v>
      </c>
      <c r="B169" t="s">
        <v>31</v>
      </c>
      <c r="C169">
        <v>2025</v>
      </c>
      <c r="D169" t="s">
        <v>32</v>
      </c>
      <c r="E169" t="s">
        <v>28</v>
      </c>
      <c r="F169" t="s">
        <v>15</v>
      </c>
      <c r="G169" t="s">
        <v>16</v>
      </c>
      <c r="H169">
        <v>6</v>
      </c>
      <c r="I169">
        <v>2430</v>
      </c>
      <c r="J169">
        <v>17081</v>
      </c>
      <c r="K169">
        <v>687.51</v>
      </c>
      <c r="L169" s="3">
        <f t="shared" si="2"/>
        <v>0.28292592592592591</v>
      </c>
    </row>
    <row r="170" spans="1:12" x14ac:dyDescent="0.3">
      <c r="A170" s="5" t="s">
        <v>178</v>
      </c>
      <c r="B170" t="s">
        <v>12</v>
      </c>
      <c r="C170">
        <v>2025</v>
      </c>
      <c r="D170" t="s">
        <v>32</v>
      </c>
      <c r="E170" t="s">
        <v>28</v>
      </c>
      <c r="F170" t="s">
        <v>62</v>
      </c>
      <c r="G170" t="s">
        <v>63</v>
      </c>
      <c r="H170">
        <v>17</v>
      </c>
      <c r="I170">
        <v>15555</v>
      </c>
      <c r="J170">
        <v>13763</v>
      </c>
      <c r="K170">
        <v>3203.53</v>
      </c>
      <c r="L170" s="3">
        <f t="shared" si="2"/>
        <v>0.20594856959177116</v>
      </c>
    </row>
    <row r="171" spans="1:12" x14ac:dyDescent="0.3">
      <c r="A171" s="5" t="s">
        <v>92</v>
      </c>
      <c r="B171" t="s">
        <v>12</v>
      </c>
      <c r="C171">
        <v>2025</v>
      </c>
      <c r="D171" t="s">
        <v>23</v>
      </c>
      <c r="E171" t="s">
        <v>60</v>
      </c>
      <c r="F171" t="s">
        <v>29</v>
      </c>
      <c r="G171" t="s">
        <v>20</v>
      </c>
      <c r="H171">
        <v>19</v>
      </c>
      <c r="I171">
        <v>7030</v>
      </c>
      <c r="J171">
        <v>13107</v>
      </c>
      <c r="K171">
        <v>1211.54</v>
      </c>
      <c r="L171" s="3">
        <f t="shared" si="2"/>
        <v>0.17233854907539117</v>
      </c>
    </row>
    <row r="172" spans="1:12" x14ac:dyDescent="0.3">
      <c r="A172" s="5" t="s">
        <v>65</v>
      </c>
      <c r="B172" t="s">
        <v>48</v>
      </c>
      <c r="C172">
        <v>2025</v>
      </c>
      <c r="D172" t="s">
        <v>13</v>
      </c>
      <c r="E172" t="s">
        <v>60</v>
      </c>
      <c r="F172" t="s">
        <v>29</v>
      </c>
      <c r="G172" t="s">
        <v>20</v>
      </c>
      <c r="H172">
        <v>7</v>
      </c>
      <c r="I172">
        <v>8806</v>
      </c>
      <c r="J172">
        <v>7610</v>
      </c>
      <c r="K172">
        <v>2464.3000000000002</v>
      </c>
      <c r="L172" s="3">
        <f t="shared" si="2"/>
        <v>0.27984328866681812</v>
      </c>
    </row>
    <row r="173" spans="1:12" x14ac:dyDescent="0.3">
      <c r="A173" s="5" t="s">
        <v>106</v>
      </c>
      <c r="B173" t="s">
        <v>45</v>
      </c>
      <c r="C173">
        <v>2025</v>
      </c>
      <c r="D173" t="s">
        <v>13</v>
      </c>
      <c r="E173" t="s">
        <v>49</v>
      </c>
      <c r="F173" t="s">
        <v>29</v>
      </c>
      <c r="G173" t="s">
        <v>20</v>
      </c>
      <c r="H173">
        <v>3</v>
      </c>
      <c r="I173">
        <v>384</v>
      </c>
      <c r="J173">
        <v>11445</v>
      </c>
      <c r="K173">
        <v>114.86</v>
      </c>
      <c r="L173" s="3">
        <f t="shared" si="2"/>
        <v>0.29911458333333335</v>
      </c>
    </row>
    <row r="174" spans="1:12" x14ac:dyDescent="0.3">
      <c r="A174" s="5" t="s">
        <v>179</v>
      </c>
      <c r="B174" t="s">
        <v>37</v>
      </c>
      <c r="C174">
        <v>2025</v>
      </c>
      <c r="D174" t="s">
        <v>23</v>
      </c>
      <c r="E174" t="s">
        <v>14</v>
      </c>
      <c r="F174" t="s">
        <v>15</v>
      </c>
      <c r="G174" t="s">
        <v>16</v>
      </c>
      <c r="H174">
        <v>4</v>
      </c>
      <c r="I174">
        <v>1640</v>
      </c>
      <c r="J174">
        <v>6012</v>
      </c>
      <c r="K174">
        <v>289.51</v>
      </c>
      <c r="L174" s="3">
        <f t="shared" si="2"/>
        <v>0.17653048780487804</v>
      </c>
    </row>
    <row r="175" spans="1:12" x14ac:dyDescent="0.3">
      <c r="A175" s="5" t="s">
        <v>180</v>
      </c>
      <c r="B175" t="s">
        <v>57</v>
      </c>
      <c r="C175">
        <v>2025</v>
      </c>
      <c r="D175" t="s">
        <v>32</v>
      </c>
      <c r="E175" t="s">
        <v>28</v>
      </c>
      <c r="F175" t="s">
        <v>62</v>
      </c>
      <c r="G175" t="s">
        <v>63</v>
      </c>
      <c r="H175">
        <v>17</v>
      </c>
      <c r="I175">
        <v>3740</v>
      </c>
      <c r="J175">
        <v>17882</v>
      </c>
      <c r="K175">
        <v>1097.51</v>
      </c>
      <c r="L175" s="3">
        <f t="shared" si="2"/>
        <v>0.29345187165775399</v>
      </c>
    </row>
    <row r="176" spans="1:12" x14ac:dyDescent="0.3">
      <c r="A176" s="5" t="s">
        <v>55</v>
      </c>
      <c r="B176" t="s">
        <v>48</v>
      </c>
      <c r="C176">
        <v>2025</v>
      </c>
      <c r="D176" t="s">
        <v>23</v>
      </c>
      <c r="E176" t="s">
        <v>26</v>
      </c>
      <c r="F176" t="s">
        <v>19</v>
      </c>
      <c r="G176" t="s">
        <v>20</v>
      </c>
      <c r="H176">
        <v>18</v>
      </c>
      <c r="I176">
        <v>5706</v>
      </c>
      <c r="J176">
        <v>12814</v>
      </c>
      <c r="K176">
        <v>1475.91</v>
      </c>
      <c r="L176" s="3">
        <f t="shared" si="2"/>
        <v>0.25865930599369086</v>
      </c>
    </row>
    <row r="177" spans="1:12" x14ac:dyDescent="0.3">
      <c r="A177" s="5" t="s">
        <v>181</v>
      </c>
      <c r="B177" t="s">
        <v>39</v>
      </c>
      <c r="C177">
        <v>2025</v>
      </c>
      <c r="D177" t="s">
        <v>23</v>
      </c>
      <c r="E177" t="s">
        <v>60</v>
      </c>
      <c r="F177" t="s">
        <v>42</v>
      </c>
      <c r="G177" t="s">
        <v>20</v>
      </c>
      <c r="H177">
        <v>16</v>
      </c>
      <c r="I177">
        <v>17248</v>
      </c>
      <c r="J177">
        <v>8112</v>
      </c>
      <c r="K177">
        <v>2209.35</v>
      </c>
      <c r="L177" s="3">
        <f t="shared" si="2"/>
        <v>0.12809311224489794</v>
      </c>
    </row>
    <row r="178" spans="1:12" x14ac:dyDescent="0.3">
      <c r="A178" s="5" t="s">
        <v>182</v>
      </c>
      <c r="B178" t="s">
        <v>48</v>
      </c>
      <c r="C178">
        <v>2025</v>
      </c>
      <c r="D178" t="s">
        <v>13</v>
      </c>
      <c r="E178" t="s">
        <v>14</v>
      </c>
      <c r="F178" t="s">
        <v>42</v>
      </c>
      <c r="G178" t="s">
        <v>20</v>
      </c>
      <c r="H178">
        <v>11</v>
      </c>
      <c r="I178">
        <v>5500</v>
      </c>
      <c r="J178">
        <v>17374</v>
      </c>
      <c r="K178">
        <v>597.02</v>
      </c>
      <c r="L178" s="3">
        <f t="shared" si="2"/>
        <v>0.1085490909090909</v>
      </c>
    </row>
    <row r="179" spans="1:12" x14ac:dyDescent="0.3">
      <c r="A179" s="5" t="s">
        <v>172</v>
      </c>
      <c r="B179" t="s">
        <v>22</v>
      </c>
      <c r="C179">
        <v>2025</v>
      </c>
      <c r="D179" t="s">
        <v>32</v>
      </c>
      <c r="E179" t="s">
        <v>28</v>
      </c>
      <c r="F179" t="s">
        <v>42</v>
      </c>
      <c r="G179" t="s">
        <v>20</v>
      </c>
      <c r="H179">
        <v>18</v>
      </c>
      <c r="I179">
        <v>26334</v>
      </c>
      <c r="J179">
        <v>7054</v>
      </c>
      <c r="K179">
        <v>4025.09</v>
      </c>
      <c r="L179" s="3">
        <f t="shared" si="2"/>
        <v>0.15284764942659679</v>
      </c>
    </row>
    <row r="180" spans="1:12" x14ac:dyDescent="0.3">
      <c r="A180" s="5" t="s">
        <v>183</v>
      </c>
      <c r="B180" t="s">
        <v>31</v>
      </c>
      <c r="C180">
        <v>2025</v>
      </c>
      <c r="D180" t="s">
        <v>23</v>
      </c>
      <c r="E180" t="s">
        <v>28</v>
      </c>
      <c r="F180" t="s">
        <v>35</v>
      </c>
      <c r="G180" t="s">
        <v>20</v>
      </c>
      <c r="H180">
        <v>5</v>
      </c>
      <c r="I180">
        <v>2110</v>
      </c>
      <c r="J180">
        <v>17543</v>
      </c>
      <c r="K180">
        <v>213.94</v>
      </c>
      <c r="L180" s="3">
        <f t="shared" si="2"/>
        <v>0.10139336492890995</v>
      </c>
    </row>
    <row r="181" spans="1:12" x14ac:dyDescent="0.3">
      <c r="A181" s="5" t="s">
        <v>184</v>
      </c>
      <c r="B181" t="s">
        <v>41</v>
      </c>
      <c r="C181">
        <v>2025</v>
      </c>
      <c r="D181" t="s">
        <v>18</v>
      </c>
      <c r="E181" t="s">
        <v>28</v>
      </c>
      <c r="F181" t="s">
        <v>42</v>
      </c>
      <c r="G181" t="s">
        <v>20</v>
      </c>
      <c r="H181">
        <v>15</v>
      </c>
      <c r="I181">
        <v>9120</v>
      </c>
      <c r="J181">
        <v>10891</v>
      </c>
      <c r="K181">
        <v>1288.6300000000001</v>
      </c>
      <c r="L181" s="3">
        <f t="shared" si="2"/>
        <v>0.14129714912280703</v>
      </c>
    </row>
    <row r="182" spans="1:12" x14ac:dyDescent="0.3">
      <c r="A182" s="5" t="s">
        <v>185</v>
      </c>
      <c r="B182" t="s">
        <v>25</v>
      </c>
      <c r="C182">
        <v>2025</v>
      </c>
      <c r="D182" t="s">
        <v>23</v>
      </c>
      <c r="E182" t="s">
        <v>14</v>
      </c>
      <c r="F182" t="s">
        <v>19</v>
      </c>
      <c r="G182" t="s">
        <v>20</v>
      </c>
      <c r="H182">
        <v>15</v>
      </c>
      <c r="I182">
        <v>13365</v>
      </c>
      <c r="J182">
        <v>13752</v>
      </c>
      <c r="K182">
        <v>2261.33</v>
      </c>
      <c r="L182" s="3">
        <f t="shared" si="2"/>
        <v>0.16919790497568274</v>
      </c>
    </row>
    <row r="183" spans="1:12" x14ac:dyDescent="0.3">
      <c r="A183" s="5" t="s">
        <v>186</v>
      </c>
      <c r="B183" t="s">
        <v>45</v>
      </c>
      <c r="C183">
        <v>2025</v>
      </c>
      <c r="D183" t="s">
        <v>18</v>
      </c>
      <c r="E183" t="s">
        <v>60</v>
      </c>
      <c r="F183" t="s">
        <v>42</v>
      </c>
      <c r="G183" t="s">
        <v>20</v>
      </c>
      <c r="H183">
        <v>7</v>
      </c>
      <c r="I183">
        <v>5264</v>
      </c>
      <c r="J183">
        <v>13878</v>
      </c>
      <c r="K183">
        <v>683.78</v>
      </c>
      <c r="L183" s="3">
        <f t="shared" si="2"/>
        <v>0.12989741641337385</v>
      </c>
    </row>
    <row r="184" spans="1:12" x14ac:dyDescent="0.3">
      <c r="A184" s="5" t="s">
        <v>127</v>
      </c>
      <c r="B184" t="s">
        <v>48</v>
      </c>
      <c r="C184">
        <v>2025</v>
      </c>
      <c r="D184" t="s">
        <v>13</v>
      </c>
      <c r="E184" t="s">
        <v>49</v>
      </c>
      <c r="F184" t="s">
        <v>19</v>
      </c>
      <c r="G184" t="s">
        <v>20</v>
      </c>
      <c r="H184">
        <v>5</v>
      </c>
      <c r="I184">
        <v>4250</v>
      </c>
      <c r="J184">
        <v>6529</v>
      </c>
      <c r="K184">
        <v>897.15</v>
      </c>
      <c r="L184" s="3">
        <f t="shared" si="2"/>
        <v>0.21109411764705882</v>
      </c>
    </row>
    <row r="185" spans="1:12" x14ac:dyDescent="0.3">
      <c r="A185" s="5" t="s">
        <v>187</v>
      </c>
      <c r="B185" t="s">
        <v>12</v>
      </c>
      <c r="C185">
        <v>2025</v>
      </c>
      <c r="D185" t="s">
        <v>32</v>
      </c>
      <c r="E185" t="s">
        <v>28</v>
      </c>
      <c r="F185" t="s">
        <v>35</v>
      </c>
      <c r="G185" t="s">
        <v>20</v>
      </c>
      <c r="H185">
        <v>2</v>
      </c>
      <c r="I185">
        <v>2760</v>
      </c>
      <c r="J185">
        <v>12775</v>
      </c>
      <c r="K185">
        <v>441.16</v>
      </c>
      <c r="L185" s="3">
        <f t="shared" si="2"/>
        <v>0.15984057971014493</v>
      </c>
    </row>
    <row r="186" spans="1:12" x14ac:dyDescent="0.3">
      <c r="A186" s="5" t="s">
        <v>184</v>
      </c>
      <c r="B186" t="s">
        <v>41</v>
      </c>
      <c r="C186">
        <v>2025</v>
      </c>
      <c r="D186" t="s">
        <v>23</v>
      </c>
      <c r="E186" t="s">
        <v>60</v>
      </c>
      <c r="F186" t="s">
        <v>29</v>
      </c>
      <c r="G186" t="s">
        <v>20</v>
      </c>
      <c r="H186">
        <v>15</v>
      </c>
      <c r="I186">
        <v>4710</v>
      </c>
      <c r="J186">
        <v>12480</v>
      </c>
      <c r="K186">
        <v>867.68</v>
      </c>
      <c r="L186" s="3">
        <f t="shared" si="2"/>
        <v>0.1842208067940552</v>
      </c>
    </row>
    <row r="187" spans="1:12" x14ac:dyDescent="0.3">
      <c r="A187" s="5" t="s">
        <v>188</v>
      </c>
      <c r="B187" t="s">
        <v>12</v>
      </c>
      <c r="C187">
        <v>2025</v>
      </c>
      <c r="D187" t="s">
        <v>13</v>
      </c>
      <c r="E187" t="s">
        <v>49</v>
      </c>
      <c r="F187" t="s">
        <v>19</v>
      </c>
      <c r="G187" t="s">
        <v>20</v>
      </c>
      <c r="H187">
        <v>18</v>
      </c>
      <c r="I187">
        <v>11952</v>
      </c>
      <c r="J187">
        <v>12873</v>
      </c>
      <c r="K187">
        <v>1254.8800000000001</v>
      </c>
      <c r="L187" s="3">
        <f t="shared" si="2"/>
        <v>0.10499330655957163</v>
      </c>
    </row>
    <row r="188" spans="1:12" x14ac:dyDescent="0.3">
      <c r="A188" s="5" t="s">
        <v>189</v>
      </c>
      <c r="B188" t="s">
        <v>57</v>
      </c>
      <c r="C188">
        <v>2025</v>
      </c>
      <c r="D188" t="s">
        <v>32</v>
      </c>
      <c r="E188" t="s">
        <v>14</v>
      </c>
      <c r="F188" t="s">
        <v>15</v>
      </c>
      <c r="G188" t="s">
        <v>16</v>
      </c>
      <c r="H188">
        <v>6</v>
      </c>
      <c r="I188">
        <v>3768</v>
      </c>
      <c r="J188">
        <v>6030</v>
      </c>
      <c r="K188">
        <v>469.89</v>
      </c>
      <c r="L188" s="3">
        <f t="shared" si="2"/>
        <v>0.12470541401273885</v>
      </c>
    </row>
    <row r="189" spans="1:12" x14ac:dyDescent="0.3">
      <c r="A189" s="5" t="s">
        <v>190</v>
      </c>
      <c r="B189" t="s">
        <v>25</v>
      </c>
      <c r="C189">
        <v>2025</v>
      </c>
      <c r="D189" t="s">
        <v>23</v>
      </c>
      <c r="E189" t="s">
        <v>14</v>
      </c>
      <c r="F189" t="s">
        <v>35</v>
      </c>
      <c r="G189" t="s">
        <v>20</v>
      </c>
      <c r="H189">
        <v>3</v>
      </c>
      <c r="I189">
        <v>3927</v>
      </c>
      <c r="J189">
        <v>17295</v>
      </c>
      <c r="K189">
        <v>698.89</v>
      </c>
      <c r="L189" s="3">
        <f t="shared" si="2"/>
        <v>0.17797046091163737</v>
      </c>
    </row>
    <row r="190" spans="1:12" x14ac:dyDescent="0.3">
      <c r="A190" s="5" t="s">
        <v>191</v>
      </c>
      <c r="B190" t="s">
        <v>37</v>
      </c>
      <c r="C190">
        <v>2025</v>
      </c>
      <c r="D190" t="s">
        <v>13</v>
      </c>
      <c r="E190" t="s">
        <v>14</v>
      </c>
      <c r="F190" t="s">
        <v>62</v>
      </c>
      <c r="G190" t="s">
        <v>63</v>
      </c>
      <c r="H190">
        <v>5</v>
      </c>
      <c r="I190">
        <v>4270</v>
      </c>
      <c r="J190">
        <v>9391</v>
      </c>
      <c r="K190">
        <v>856.51</v>
      </c>
      <c r="L190" s="3">
        <f t="shared" si="2"/>
        <v>0.20058782201405151</v>
      </c>
    </row>
    <row r="191" spans="1:12" x14ac:dyDescent="0.3">
      <c r="A191" s="5" t="s">
        <v>192</v>
      </c>
      <c r="B191" t="s">
        <v>34</v>
      </c>
      <c r="C191">
        <v>2025</v>
      </c>
      <c r="D191" t="s">
        <v>23</v>
      </c>
      <c r="E191" t="s">
        <v>60</v>
      </c>
      <c r="F191" t="s">
        <v>29</v>
      </c>
      <c r="G191" t="s">
        <v>20</v>
      </c>
      <c r="H191">
        <v>8</v>
      </c>
      <c r="I191">
        <v>1696</v>
      </c>
      <c r="J191">
        <v>7451</v>
      </c>
      <c r="K191">
        <v>250.25</v>
      </c>
      <c r="L191" s="3">
        <f t="shared" si="2"/>
        <v>0.14755306603773585</v>
      </c>
    </row>
    <row r="192" spans="1:12" x14ac:dyDescent="0.3">
      <c r="A192" s="5" t="s">
        <v>193</v>
      </c>
      <c r="B192" t="s">
        <v>57</v>
      </c>
      <c r="C192">
        <v>2025</v>
      </c>
      <c r="D192" t="s">
        <v>18</v>
      </c>
      <c r="E192" t="s">
        <v>60</v>
      </c>
      <c r="F192" t="s">
        <v>42</v>
      </c>
      <c r="G192" t="s">
        <v>20</v>
      </c>
      <c r="H192">
        <v>3</v>
      </c>
      <c r="I192">
        <v>315</v>
      </c>
      <c r="J192">
        <v>11125</v>
      </c>
      <c r="K192">
        <v>33.96</v>
      </c>
      <c r="L192" s="3">
        <f t="shared" si="2"/>
        <v>0.10780952380952381</v>
      </c>
    </row>
    <row r="193" spans="1:12" x14ac:dyDescent="0.3">
      <c r="A193" s="5" t="s">
        <v>24</v>
      </c>
      <c r="B193" t="s">
        <v>25</v>
      </c>
      <c r="C193">
        <v>2025</v>
      </c>
      <c r="D193" t="s">
        <v>23</v>
      </c>
      <c r="E193" t="s">
        <v>26</v>
      </c>
      <c r="F193" t="s">
        <v>29</v>
      </c>
      <c r="G193" t="s">
        <v>20</v>
      </c>
      <c r="H193">
        <v>2</v>
      </c>
      <c r="I193">
        <v>2788</v>
      </c>
      <c r="J193">
        <v>17354</v>
      </c>
      <c r="K193">
        <v>602.29</v>
      </c>
      <c r="L193" s="3">
        <f t="shared" si="2"/>
        <v>0.21602941176470586</v>
      </c>
    </row>
    <row r="194" spans="1:12" x14ac:dyDescent="0.3">
      <c r="A194" s="5" t="s">
        <v>128</v>
      </c>
      <c r="B194" t="s">
        <v>48</v>
      </c>
      <c r="C194">
        <v>2025</v>
      </c>
      <c r="D194" t="s">
        <v>32</v>
      </c>
      <c r="E194" t="s">
        <v>26</v>
      </c>
      <c r="F194" t="s">
        <v>35</v>
      </c>
      <c r="G194" t="s">
        <v>20</v>
      </c>
      <c r="H194">
        <v>8</v>
      </c>
      <c r="I194">
        <v>5088</v>
      </c>
      <c r="J194">
        <v>19403</v>
      </c>
      <c r="K194">
        <v>592.32000000000005</v>
      </c>
      <c r="L194" s="3">
        <f t="shared" si="2"/>
        <v>0.11641509433962265</v>
      </c>
    </row>
    <row r="195" spans="1:12" x14ac:dyDescent="0.3">
      <c r="A195" s="5" t="s">
        <v>194</v>
      </c>
      <c r="B195" t="s">
        <v>22</v>
      </c>
      <c r="C195">
        <v>2025</v>
      </c>
      <c r="D195" t="s">
        <v>23</v>
      </c>
      <c r="E195" t="s">
        <v>26</v>
      </c>
      <c r="F195" t="s">
        <v>15</v>
      </c>
      <c r="G195" t="s">
        <v>16</v>
      </c>
      <c r="H195">
        <v>4</v>
      </c>
      <c r="I195">
        <v>2892</v>
      </c>
      <c r="J195">
        <v>11818</v>
      </c>
      <c r="K195">
        <v>678.54</v>
      </c>
      <c r="L195" s="3">
        <f t="shared" ref="L195:L258" si="3">K195/I195</f>
        <v>0.23462655601659749</v>
      </c>
    </row>
    <row r="196" spans="1:12" x14ac:dyDescent="0.3">
      <c r="A196" s="5" t="s">
        <v>94</v>
      </c>
      <c r="B196" t="s">
        <v>22</v>
      </c>
      <c r="C196">
        <v>2025</v>
      </c>
      <c r="D196" t="s">
        <v>13</v>
      </c>
      <c r="E196" t="s">
        <v>14</v>
      </c>
      <c r="F196" t="s">
        <v>62</v>
      </c>
      <c r="G196" t="s">
        <v>63</v>
      </c>
      <c r="H196">
        <v>18</v>
      </c>
      <c r="I196">
        <v>16758</v>
      </c>
      <c r="J196">
        <v>6751</v>
      </c>
      <c r="K196">
        <v>3820.28</v>
      </c>
      <c r="L196" s="3">
        <f t="shared" si="3"/>
        <v>0.22796753789234994</v>
      </c>
    </row>
    <row r="197" spans="1:12" x14ac:dyDescent="0.3">
      <c r="A197" s="5" t="s">
        <v>117</v>
      </c>
      <c r="B197" t="s">
        <v>25</v>
      </c>
      <c r="C197">
        <v>2025</v>
      </c>
      <c r="D197" t="s">
        <v>32</v>
      </c>
      <c r="E197" t="s">
        <v>14</v>
      </c>
      <c r="F197" t="s">
        <v>15</v>
      </c>
      <c r="G197" t="s">
        <v>16</v>
      </c>
      <c r="H197">
        <v>12</v>
      </c>
      <c r="I197">
        <v>8160</v>
      </c>
      <c r="J197">
        <v>8170</v>
      </c>
      <c r="K197">
        <v>963.6</v>
      </c>
      <c r="L197" s="3">
        <f t="shared" si="3"/>
        <v>0.11808823529411765</v>
      </c>
    </row>
    <row r="198" spans="1:12" x14ac:dyDescent="0.3">
      <c r="A198" s="5" t="s">
        <v>195</v>
      </c>
      <c r="B198" t="s">
        <v>45</v>
      </c>
      <c r="C198">
        <v>2025</v>
      </c>
      <c r="D198" t="s">
        <v>23</v>
      </c>
      <c r="E198" t="s">
        <v>26</v>
      </c>
      <c r="F198" t="s">
        <v>62</v>
      </c>
      <c r="G198" t="s">
        <v>63</v>
      </c>
      <c r="H198">
        <v>13</v>
      </c>
      <c r="I198">
        <v>12142</v>
      </c>
      <c r="J198">
        <v>9629</v>
      </c>
      <c r="K198">
        <v>1623.78</v>
      </c>
      <c r="L198" s="3">
        <f t="shared" si="3"/>
        <v>0.13373249876461868</v>
      </c>
    </row>
    <row r="199" spans="1:12" x14ac:dyDescent="0.3">
      <c r="A199" s="5" t="s">
        <v>196</v>
      </c>
      <c r="B199" t="s">
        <v>45</v>
      </c>
      <c r="C199">
        <v>2025</v>
      </c>
      <c r="D199" t="s">
        <v>18</v>
      </c>
      <c r="E199" t="s">
        <v>49</v>
      </c>
      <c r="F199" t="s">
        <v>19</v>
      </c>
      <c r="G199" t="s">
        <v>20</v>
      </c>
      <c r="H199">
        <v>15</v>
      </c>
      <c r="I199">
        <v>5445</v>
      </c>
      <c r="J199">
        <v>9364</v>
      </c>
      <c r="K199">
        <v>1368.37</v>
      </c>
      <c r="L199" s="3">
        <f t="shared" si="3"/>
        <v>0.25130762167125803</v>
      </c>
    </row>
    <row r="200" spans="1:12" x14ac:dyDescent="0.3">
      <c r="A200" s="5" t="s">
        <v>186</v>
      </c>
      <c r="B200" t="s">
        <v>45</v>
      </c>
      <c r="C200">
        <v>2025</v>
      </c>
      <c r="D200" t="s">
        <v>32</v>
      </c>
      <c r="E200" t="s">
        <v>14</v>
      </c>
      <c r="F200" t="s">
        <v>15</v>
      </c>
      <c r="G200" t="s">
        <v>16</v>
      </c>
      <c r="H200">
        <v>13</v>
      </c>
      <c r="I200">
        <v>9230</v>
      </c>
      <c r="J200">
        <v>18359</v>
      </c>
      <c r="K200">
        <v>2412.44</v>
      </c>
      <c r="L200" s="3">
        <f t="shared" si="3"/>
        <v>0.26136944745395452</v>
      </c>
    </row>
    <row r="201" spans="1:12" x14ac:dyDescent="0.3">
      <c r="A201" s="5" t="s">
        <v>191</v>
      </c>
      <c r="B201" t="s">
        <v>37</v>
      </c>
      <c r="C201">
        <v>2025</v>
      </c>
      <c r="D201" t="s">
        <v>23</v>
      </c>
      <c r="E201" t="s">
        <v>14</v>
      </c>
      <c r="F201" t="s">
        <v>29</v>
      </c>
      <c r="G201" t="s">
        <v>20</v>
      </c>
      <c r="H201">
        <v>1</v>
      </c>
      <c r="I201">
        <v>1452</v>
      </c>
      <c r="J201">
        <v>15052</v>
      </c>
      <c r="K201">
        <v>426.31</v>
      </c>
      <c r="L201" s="3">
        <f t="shared" si="3"/>
        <v>0.29360192837465565</v>
      </c>
    </row>
    <row r="202" spans="1:12" x14ac:dyDescent="0.3">
      <c r="A202" s="5" t="s">
        <v>197</v>
      </c>
      <c r="B202" t="s">
        <v>12</v>
      </c>
      <c r="C202">
        <v>2025</v>
      </c>
      <c r="D202" t="s">
        <v>13</v>
      </c>
      <c r="E202" t="s">
        <v>28</v>
      </c>
      <c r="F202" t="s">
        <v>35</v>
      </c>
      <c r="G202" t="s">
        <v>20</v>
      </c>
      <c r="H202">
        <v>9</v>
      </c>
      <c r="I202">
        <v>1359</v>
      </c>
      <c r="J202">
        <v>16564</v>
      </c>
      <c r="K202">
        <v>264.52999999999997</v>
      </c>
      <c r="L202" s="3">
        <f t="shared" si="3"/>
        <v>0.19465047829286239</v>
      </c>
    </row>
    <row r="203" spans="1:12" x14ac:dyDescent="0.3">
      <c r="A203" s="5" t="s">
        <v>198</v>
      </c>
      <c r="B203" t="s">
        <v>37</v>
      </c>
      <c r="C203">
        <v>2025</v>
      </c>
      <c r="D203" t="s">
        <v>18</v>
      </c>
      <c r="E203" t="s">
        <v>26</v>
      </c>
      <c r="F203" t="s">
        <v>29</v>
      </c>
      <c r="G203" t="s">
        <v>20</v>
      </c>
      <c r="H203">
        <v>11</v>
      </c>
      <c r="I203">
        <v>6655</v>
      </c>
      <c r="J203">
        <v>17407</v>
      </c>
      <c r="K203">
        <v>974.31</v>
      </c>
      <c r="L203" s="3">
        <f t="shared" si="3"/>
        <v>0.14640270473328323</v>
      </c>
    </row>
    <row r="204" spans="1:12" x14ac:dyDescent="0.3">
      <c r="A204" s="5" t="s">
        <v>199</v>
      </c>
      <c r="B204" t="s">
        <v>39</v>
      </c>
      <c r="C204">
        <v>2025</v>
      </c>
      <c r="D204" t="s">
        <v>13</v>
      </c>
      <c r="E204" t="s">
        <v>60</v>
      </c>
      <c r="F204" t="s">
        <v>62</v>
      </c>
      <c r="G204" t="s">
        <v>63</v>
      </c>
      <c r="H204">
        <v>6</v>
      </c>
      <c r="I204">
        <v>2490</v>
      </c>
      <c r="J204">
        <v>17937</v>
      </c>
      <c r="K204">
        <v>249.91</v>
      </c>
      <c r="L204" s="3">
        <f t="shared" si="3"/>
        <v>0.10036546184738955</v>
      </c>
    </row>
    <row r="205" spans="1:12" x14ac:dyDescent="0.3">
      <c r="A205" s="5" t="s">
        <v>123</v>
      </c>
      <c r="B205" t="s">
        <v>25</v>
      </c>
      <c r="C205">
        <v>2025</v>
      </c>
      <c r="D205" t="s">
        <v>18</v>
      </c>
      <c r="E205" t="s">
        <v>49</v>
      </c>
      <c r="F205" t="s">
        <v>35</v>
      </c>
      <c r="G205" t="s">
        <v>20</v>
      </c>
      <c r="H205">
        <v>17</v>
      </c>
      <c r="I205">
        <v>17867</v>
      </c>
      <c r="J205">
        <v>7028</v>
      </c>
      <c r="K205">
        <v>3406.78</v>
      </c>
      <c r="L205" s="3">
        <f t="shared" si="3"/>
        <v>0.19067442771590085</v>
      </c>
    </row>
    <row r="206" spans="1:12" x14ac:dyDescent="0.3">
      <c r="A206" s="5" t="s">
        <v>200</v>
      </c>
      <c r="B206" t="s">
        <v>31</v>
      </c>
      <c r="C206">
        <v>2025</v>
      </c>
      <c r="D206" t="s">
        <v>23</v>
      </c>
      <c r="E206" t="s">
        <v>60</v>
      </c>
      <c r="F206" t="s">
        <v>29</v>
      </c>
      <c r="G206" t="s">
        <v>20</v>
      </c>
      <c r="H206">
        <v>11</v>
      </c>
      <c r="I206">
        <v>2915</v>
      </c>
      <c r="J206">
        <v>11789</v>
      </c>
      <c r="K206">
        <v>533.83000000000004</v>
      </c>
      <c r="L206" s="3">
        <f t="shared" si="3"/>
        <v>0.18313207547169813</v>
      </c>
    </row>
    <row r="207" spans="1:12" x14ac:dyDescent="0.3">
      <c r="A207" s="5" t="s">
        <v>75</v>
      </c>
      <c r="B207" t="s">
        <v>31</v>
      </c>
      <c r="C207">
        <v>2025</v>
      </c>
      <c r="D207" t="s">
        <v>23</v>
      </c>
      <c r="E207" t="s">
        <v>26</v>
      </c>
      <c r="F207" t="s">
        <v>29</v>
      </c>
      <c r="G207" t="s">
        <v>20</v>
      </c>
      <c r="H207">
        <v>19</v>
      </c>
      <c r="I207">
        <v>7277</v>
      </c>
      <c r="J207">
        <v>7141</v>
      </c>
      <c r="K207">
        <v>923.66</v>
      </c>
      <c r="L207" s="3">
        <f t="shared" si="3"/>
        <v>0.12692867940085201</v>
      </c>
    </row>
    <row r="208" spans="1:12" x14ac:dyDescent="0.3">
      <c r="A208" s="5" t="s">
        <v>201</v>
      </c>
      <c r="B208" t="s">
        <v>37</v>
      </c>
      <c r="C208">
        <v>2025</v>
      </c>
      <c r="D208" t="s">
        <v>32</v>
      </c>
      <c r="E208" t="s">
        <v>49</v>
      </c>
      <c r="F208" t="s">
        <v>42</v>
      </c>
      <c r="G208" t="s">
        <v>20</v>
      </c>
      <c r="H208">
        <v>15</v>
      </c>
      <c r="I208">
        <v>10980</v>
      </c>
      <c r="J208">
        <v>12321</v>
      </c>
      <c r="K208">
        <v>1783.75</v>
      </c>
      <c r="L208" s="3">
        <f t="shared" si="3"/>
        <v>0.16245446265938068</v>
      </c>
    </row>
    <row r="209" spans="1:12" x14ac:dyDescent="0.3">
      <c r="A209" s="5" t="s">
        <v>199</v>
      </c>
      <c r="B209" t="s">
        <v>39</v>
      </c>
      <c r="C209">
        <v>2025</v>
      </c>
      <c r="D209" t="s">
        <v>32</v>
      </c>
      <c r="E209" t="s">
        <v>49</v>
      </c>
      <c r="F209" t="s">
        <v>42</v>
      </c>
      <c r="G209" t="s">
        <v>20</v>
      </c>
      <c r="H209">
        <v>7</v>
      </c>
      <c r="I209">
        <v>7098</v>
      </c>
      <c r="J209">
        <v>17633</v>
      </c>
      <c r="K209">
        <v>1397.46</v>
      </c>
      <c r="L209" s="3">
        <f t="shared" si="3"/>
        <v>0.19688081149619613</v>
      </c>
    </row>
    <row r="210" spans="1:12" x14ac:dyDescent="0.3">
      <c r="A210" s="5" t="s">
        <v>178</v>
      </c>
      <c r="B210" t="s">
        <v>12</v>
      </c>
      <c r="C210">
        <v>2025</v>
      </c>
      <c r="D210" t="s">
        <v>18</v>
      </c>
      <c r="E210" t="s">
        <v>60</v>
      </c>
      <c r="F210" t="s">
        <v>42</v>
      </c>
      <c r="G210" t="s">
        <v>20</v>
      </c>
      <c r="H210">
        <v>12</v>
      </c>
      <c r="I210">
        <v>6900</v>
      </c>
      <c r="J210">
        <v>5101</v>
      </c>
      <c r="K210">
        <v>1734.77</v>
      </c>
      <c r="L210" s="3">
        <f t="shared" si="3"/>
        <v>0.25141594202898548</v>
      </c>
    </row>
    <row r="211" spans="1:12" x14ac:dyDescent="0.3">
      <c r="A211" s="5" t="s">
        <v>135</v>
      </c>
      <c r="B211" t="s">
        <v>25</v>
      </c>
      <c r="C211">
        <v>2025</v>
      </c>
      <c r="D211" t="s">
        <v>13</v>
      </c>
      <c r="E211" t="s">
        <v>28</v>
      </c>
      <c r="F211" t="s">
        <v>62</v>
      </c>
      <c r="G211" t="s">
        <v>63</v>
      </c>
      <c r="H211">
        <v>13</v>
      </c>
      <c r="I211">
        <v>17290</v>
      </c>
      <c r="J211">
        <v>15223</v>
      </c>
      <c r="K211">
        <v>4349.3100000000004</v>
      </c>
      <c r="L211" s="3">
        <f t="shared" si="3"/>
        <v>0.25155060728744943</v>
      </c>
    </row>
    <row r="212" spans="1:12" x14ac:dyDescent="0.3">
      <c r="A212" s="5" t="s">
        <v>56</v>
      </c>
      <c r="B212" t="s">
        <v>57</v>
      </c>
      <c r="C212">
        <v>2025</v>
      </c>
      <c r="D212" t="s">
        <v>18</v>
      </c>
      <c r="E212" t="s">
        <v>49</v>
      </c>
      <c r="F212" t="s">
        <v>29</v>
      </c>
      <c r="G212" t="s">
        <v>20</v>
      </c>
      <c r="H212">
        <v>19</v>
      </c>
      <c r="I212">
        <v>13832</v>
      </c>
      <c r="J212">
        <v>8119</v>
      </c>
      <c r="K212">
        <v>1957.88</v>
      </c>
      <c r="L212" s="3">
        <f t="shared" si="3"/>
        <v>0.14154713707345287</v>
      </c>
    </row>
    <row r="213" spans="1:12" x14ac:dyDescent="0.3">
      <c r="A213" s="5" t="s">
        <v>202</v>
      </c>
      <c r="B213" t="s">
        <v>45</v>
      </c>
      <c r="C213">
        <v>2025</v>
      </c>
      <c r="D213" t="s">
        <v>18</v>
      </c>
      <c r="E213" t="s">
        <v>49</v>
      </c>
      <c r="F213" t="s">
        <v>62</v>
      </c>
      <c r="G213" t="s">
        <v>63</v>
      </c>
      <c r="H213">
        <v>6</v>
      </c>
      <c r="I213">
        <v>3984</v>
      </c>
      <c r="J213">
        <v>10710</v>
      </c>
      <c r="K213">
        <v>424</v>
      </c>
      <c r="L213" s="3">
        <f t="shared" si="3"/>
        <v>0.10642570281124498</v>
      </c>
    </row>
    <row r="214" spans="1:12" x14ac:dyDescent="0.3">
      <c r="A214" s="5" t="s">
        <v>203</v>
      </c>
      <c r="B214" t="s">
        <v>22</v>
      </c>
      <c r="C214">
        <v>2025</v>
      </c>
      <c r="D214" t="s">
        <v>13</v>
      </c>
      <c r="E214" t="s">
        <v>28</v>
      </c>
      <c r="F214" t="s">
        <v>19</v>
      </c>
      <c r="G214" t="s">
        <v>20</v>
      </c>
      <c r="H214">
        <v>7</v>
      </c>
      <c r="I214">
        <v>3507</v>
      </c>
      <c r="J214">
        <v>6670</v>
      </c>
      <c r="K214">
        <v>995.79</v>
      </c>
      <c r="L214" s="3">
        <f t="shared" si="3"/>
        <v>0.28394354148845163</v>
      </c>
    </row>
    <row r="215" spans="1:12" x14ac:dyDescent="0.3">
      <c r="A215" s="5" t="s">
        <v>138</v>
      </c>
      <c r="B215" t="s">
        <v>41</v>
      </c>
      <c r="C215">
        <v>2025</v>
      </c>
      <c r="D215" t="s">
        <v>18</v>
      </c>
      <c r="E215" t="s">
        <v>14</v>
      </c>
      <c r="F215" t="s">
        <v>35</v>
      </c>
      <c r="G215" t="s">
        <v>20</v>
      </c>
      <c r="H215">
        <v>9</v>
      </c>
      <c r="I215">
        <v>3627</v>
      </c>
      <c r="J215">
        <v>11855</v>
      </c>
      <c r="K215">
        <v>951.82</v>
      </c>
      <c r="L215" s="3">
        <f t="shared" si="3"/>
        <v>0.26242624758753791</v>
      </c>
    </row>
    <row r="216" spans="1:12" x14ac:dyDescent="0.3">
      <c r="A216" s="5" t="s">
        <v>24</v>
      </c>
      <c r="B216" t="s">
        <v>25</v>
      </c>
      <c r="C216">
        <v>2025</v>
      </c>
      <c r="D216" t="s">
        <v>32</v>
      </c>
      <c r="E216" t="s">
        <v>26</v>
      </c>
      <c r="F216" t="s">
        <v>19</v>
      </c>
      <c r="G216" t="s">
        <v>20</v>
      </c>
      <c r="H216">
        <v>15</v>
      </c>
      <c r="I216">
        <v>21375</v>
      </c>
      <c r="J216">
        <v>14928</v>
      </c>
      <c r="K216">
        <v>2410.1</v>
      </c>
      <c r="L216" s="3">
        <f t="shared" si="3"/>
        <v>0.11275321637426901</v>
      </c>
    </row>
    <row r="217" spans="1:12" x14ac:dyDescent="0.3">
      <c r="A217" s="5" t="s">
        <v>204</v>
      </c>
      <c r="B217" t="s">
        <v>22</v>
      </c>
      <c r="C217">
        <v>2025</v>
      </c>
      <c r="D217" t="s">
        <v>18</v>
      </c>
      <c r="E217" t="s">
        <v>14</v>
      </c>
      <c r="F217" t="s">
        <v>62</v>
      </c>
      <c r="G217" t="s">
        <v>63</v>
      </c>
      <c r="H217">
        <v>19</v>
      </c>
      <c r="I217">
        <v>10279</v>
      </c>
      <c r="J217">
        <v>9634</v>
      </c>
      <c r="K217">
        <v>2406.4299999999998</v>
      </c>
      <c r="L217" s="3">
        <f t="shared" si="3"/>
        <v>0.23411129487304211</v>
      </c>
    </row>
    <row r="218" spans="1:12" x14ac:dyDescent="0.3">
      <c r="A218" s="5" t="s">
        <v>205</v>
      </c>
      <c r="B218" t="s">
        <v>41</v>
      </c>
      <c r="C218">
        <v>2025</v>
      </c>
      <c r="D218" t="s">
        <v>23</v>
      </c>
      <c r="E218" t="s">
        <v>26</v>
      </c>
      <c r="F218" t="s">
        <v>35</v>
      </c>
      <c r="G218" t="s">
        <v>20</v>
      </c>
      <c r="H218">
        <v>18</v>
      </c>
      <c r="I218">
        <v>10386</v>
      </c>
      <c r="J218">
        <v>10904</v>
      </c>
      <c r="K218">
        <v>1283.97</v>
      </c>
      <c r="L218" s="3">
        <f t="shared" si="3"/>
        <v>0.12362507221259388</v>
      </c>
    </row>
    <row r="219" spans="1:12" x14ac:dyDescent="0.3">
      <c r="A219" s="5" t="s">
        <v>206</v>
      </c>
      <c r="B219" t="s">
        <v>12</v>
      </c>
      <c r="C219">
        <v>2025</v>
      </c>
      <c r="D219" t="s">
        <v>32</v>
      </c>
      <c r="E219" t="s">
        <v>28</v>
      </c>
      <c r="F219" t="s">
        <v>19</v>
      </c>
      <c r="G219" t="s">
        <v>20</v>
      </c>
      <c r="H219">
        <v>1</v>
      </c>
      <c r="I219">
        <v>305</v>
      </c>
      <c r="J219">
        <v>6788</v>
      </c>
      <c r="K219">
        <v>59.59</v>
      </c>
      <c r="L219" s="3">
        <f t="shared" si="3"/>
        <v>0.19537704918032789</v>
      </c>
    </row>
    <row r="220" spans="1:12" x14ac:dyDescent="0.3">
      <c r="A220" s="5" t="s">
        <v>207</v>
      </c>
      <c r="B220" t="s">
        <v>25</v>
      </c>
      <c r="C220">
        <v>2025</v>
      </c>
      <c r="D220" t="s">
        <v>23</v>
      </c>
      <c r="E220" t="s">
        <v>28</v>
      </c>
      <c r="F220" t="s">
        <v>42</v>
      </c>
      <c r="G220" t="s">
        <v>20</v>
      </c>
      <c r="H220">
        <v>20</v>
      </c>
      <c r="I220">
        <v>11340</v>
      </c>
      <c r="J220">
        <v>15253</v>
      </c>
      <c r="K220">
        <v>1393.94</v>
      </c>
      <c r="L220" s="3">
        <f t="shared" si="3"/>
        <v>0.12292239858906526</v>
      </c>
    </row>
    <row r="221" spans="1:12" x14ac:dyDescent="0.3">
      <c r="A221" s="5" t="s">
        <v>135</v>
      </c>
      <c r="B221" t="s">
        <v>25</v>
      </c>
      <c r="C221">
        <v>2025</v>
      </c>
      <c r="D221" t="s">
        <v>32</v>
      </c>
      <c r="E221" t="s">
        <v>14</v>
      </c>
      <c r="F221" t="s">
        <v>19</v>
      </c>
      <c r="G221" t="s">
        <v>20</v>
      </c>
      <c r="H221">
        <v>11</v>
      </c>
      <c r="I221">
        <v>9240</v>
      </c>
      <c r="J221">
        <v>13158</v>
      </c>
      <c r="K221">
        <v>943.2</v>
      </c>
      <c r="L221" s="3">
        <f t="shared" si="3"/>
        <v>0.10207792207792209</v>
      </c>
    </row>
    <row r="222" spans="1:12" x14ac:dyDescent="0.3">
      <c r="A222" s="5" t="s">
        <v>208</v>
      </c>
      <c r="B222" t="s">
        <v>57</v>
      </c>
      <c r="C222">
        <v>2025</v>
      </c>
      <c r="D222" t="s">
        <v>13</v>
      </c>
      <c r="E222" t="s">
        <v>26</v>
      </c>
      <c r="F222" t="s">
        <v>15</v>
      </c>
      <c r="G222" t="s">
        <v>16</v>
      </c>
      <c r="H222">
        <v>16</v>
      </c>
      <c r="I222">
        <v>12352</v>
      </c>
      <c r="J222">
        <v>8520</v>
      </c>
      <c r="K222">
        <v>1605.89</v>
      </c>
      <c r="L222" s="3">
        <f t="shared" si="3"/>
        <v>0.13001052461139898</v>
      </c>
    </row>
    <row r="223" spans="1:12" x14ac:dyDescent="0.3">
      <c r="A223" s="5" t="s">
        <v>90</v>
      </c>
      <c r="B223" t="s">
        <v>57</v>
      </c>
      <c r="C223">
        <v>2025</v>
      </c>
      <c r="D223" t="s">
        <v>13</v>
      </c>
      <c r="E223" t="s">
        <v>26</v>
      </c>
      <c r="F223" t="s">
        <v>19</v>
      </c>
      <c r="G223" t="s">
        <v>20</v>
      </c>
      <c r="H223">
        <v>14</v>
      </c>
      <c r="I223">
        <v>19516</v>
      </c>
      <c r="J223">
        <v>10222</v>
      </c>
      <c r="K223">
        <v>2560.4299999999998</v>
      </c>
      <c r="L223" s="3">
        <f t="shared" si="3"/>
        <v>0.13119645419143267</v>
      </c>
    </row>
    <row r="224" spans="1:12" x14ac:dyDescent="0.3">
      <c r="A224" s="5" t="s">
        <v>209</v>
      </c>
      <c r="B224" t="s">
        <v>25</v>
      </c>
      <c r="C224">
        <v>2025</v>
      </c>
      <c r="D224" t="s">
        <v>18</v>
      </c>
      <c r="E224" t="s">
        <v>60</v>
      </c>
      <c r="F224" t="s">
        <v>15</v>
      </c>
      <c r="G224" t="s">
        <v>16</v>
      </c>
      <c r="H224">
        <v>14</v>
      </c>
      <c r="I224">
        <v>7098</v>
      </c>
      <c r="J224">
        <v>13013</v>
      </c>
      <c r="K224">
        <v>1439.65</v>
      </c>
      <c r="L224" s="3">
        <f t="shared" si="3"/>
        <v>0.20282473936320092</v>
      </c>
    </row>
    <row r="225" spans="1:12" x14ac:dyDescent="0.3">
      <c r="A225" s="5" t="s">
        <v>87</v>
      </c>
      <c r="B225" t="s">
        <v>85</v>
      </c>
      <c r="C225">
        <v>2025</v>
      </c>
      <c r="D225" t="s">
        <v>13</v>
      </c>
      <c r="E225" t="s">
        <v>60</v>
      </c>
      <c r="F225" t="s">
        <v>15</v>
      </c>
      <c r="G225" t="s">
        <v>16</v>
      </c>
      <c r="H225">
        <v>6</v>
      </c>
      <c r="I225">
        <v>2856</v>
      </c>
      <c r="J225">
        <v>11748</v>
      </c>
      <c r="K225">
        <v>315.35000000000002</v>
      </c>
      <c r="L225" s="3">
        <f t="shared" si="3"/>
        <v>0.11041666666666668</v>
      </c>
    </row>
    <row r="226" spans="1:12" x14ac:dyDescent="0.3">
      <c r="A226" s="5" t="s">
        <v>210</v>
      </c>
      <c r="B226" t="s">
        <v>31</v>
      </c>
      <c r="C226">
        <v>2025</v>
      </c>
      <c r="D226" t="s">
        <v>32</v>
      </c>
      <c r="E226" t="s">
        <v>14</v>
      </c>
      <c r="F226" t="s">
        <v>35</v>
      </c>
      <c r="G226" t="s">
        <v>20</v>
      </c>
      <c r="H226">
        <v>20</v>
      </c>
      <c r="I226">
        <v>15820</v>
      </c>
      <c r="J226">
        <v>15491</v>
      </c>
      <c r="K226">
        <v>2276.5700000000002</v>
      </c>
      <c r="L226" s="3">
        <f t="shared" si="3"/>
        <v>0.14390455120101139</v>
      </c>
    </row>
    <row r="227" spans="1:12" x14ac:dyDescent="0.3">
      <c r="A227" s="5" t="s">
        <v>211</v>
      </c>
      <c r="B227" t="s">
        <v>12</v>
      </c>
      <c r="C227">
        <v>2025</v>
      </c>
      <c r="D227" t="s">
        <v>23</v>
      </c>
      <c r="E227" t="s">
        <v>14</v>
      </c>
      <c r="F227" t="s">
        <v>42</v>
      </c>
      <c r="G227" t="s">
        <v>20</v>
      </c>
      <c r="H227">
        <v>9</v>
      </c>
      <c r="I227">
        <v>4257</v>
      </c>
      <c r="J227">
        <v>16604</v>
      </c>
      <c r="K227">
        <v>1153.48</v>
      </c>
      <c r="L227" s="3">
        <f t="shared" si="3"/>
        <v>0.2709607704956542</v>
      </c>
    </row>
    <row r="228" spans="1:12" x14ac:dyDescent="0.3">
      <c r="A228" s="5" t="s">
        <v>212</v>
      </c>
      <c r="B228" t="s">
        <v>41</v>
      </c>
      <c r="C228">
        <v>2025</v>
      </c>
      <c r="D228" t="s">
        <v>13</v>
      </c>
      <c r="E228" t="s">
        <v>60</v>
      </c>
      <c r="F228" t="s">
        <v>35</v>
      </c>
      <c r="G228" t="s">
        <v>20</v>
      </c>
      <c r="H228">
        <v>20</v>
      </c>
      <c r="I228">
        <v>22040</v>
      </c>
      <c r="J228">
        <v>11506</v>
      </c>
      <c r="K228">
        <v>2231.08</v>
      </c>
      <c r="L228" s="3">
        <f t="shared" si="3"/>
        <v>0.10122867513611615</v>
      </c>
    </row>
    <row r="229" spans="1:12" x14ac:dyDescent="0.3">
      <c r="A229" s="5" t="s">
        <v>58</v>
      </c>
      <c r="B229" t="s">
        <v>39</v>
      </c>
      <c r="C229">
        <v>2025</v>
      </c>
      <c r="D229" t="s">
        <v>23</v>
      </c>
      <c r="E229" t="s">
        <v>60</v>
      </c>
      <c r="F229" t="s">
        <v>62</v>
      </c>
      <c r="G229" t="s">
        <v>63</v>
      </c>
      <c r="H229">
        <v>19</v>
      </c>
      <c r="I229">
        <v>9272</v>
      </c>
      <c r="J229">
        <v>8309</v>
      </c>
      <c r="K229">
        <v>1536.58</v>
      </c>
      <c r="L229" s="3">
        <f t="shared" si="3"/>
        <v>0.16572260569456426</v>
      </c>
    </row>
    <row r="230" spans="1:12" x14ac:dyDescent="0.3">
      <c r="A230" s="5" t="s">
        <v>103</v>
      </c>
      <c r="B230" t="s">
        <v>37</v>
      </c>
      <c r="C230">
        <v>2025</v>
      </c>
      <c r="D230" t="s">
        <v>13</v>
      </c>
      <c r="E230" t="s">
        <v>26</v>
      </c>
      <c r="F230" t="s">
        <v>15</v>
      </c>
      <c r="G230" t="s">
        <v>16</v>
      </c>
      <c r="H230">
        <v>3</v>
      </c>
      <c r="I230">
        <v>2832</v>
      </c>
      <c r="J230">
        <v>19204</v>
      </c>
      <c r="K230">
        <v>487.33</v>
      </c>
      <c r="L230" s="3">
        <f t="shared" si="3"/>
        <v>0.172079802259887</v>
      </c>
    </row>
    <row r="231" spans="1:12" x14ac:dyDescent="0.3">
      <c r="A231" s="5" t="s">
        <v>213</v>
      </c>
      <c r="B231" t="s">
        <v>45</v>
      </c>
      <c r="C231">
        <v>2025</v>
      </c>
      <c r="D231" t="s">
        <v>32</v>
      </c>
      <c r="E231" t="s">
        <v>14</v>
      </c>
      <c r="F231" t="s">
        <v>15</v>
      </c>
      <c r="G231" t="s">
        <v>16</v>
      </c>
      <c r="H231">
        <v>18</v>
      </c>
      <c r="I231">
        <v>12618</v>
      </c>
      <c r="J231">
        <v>7884</v>
      </c>
      <c r="K231">
        <v>3618.03</v>
      </c>
      <c r="L231" s="3">
        <f t="shared" si="3"/>
        <v>0.28673561578697099</v>
      </c>
    </row>
    <row r="232" spans="1:12" x14ac:dyDescent="0.3">
      <c r="A232" s="5" t="s">
        <v>214</v>
      </c>
      <c r="B232" t="s">
        <v>85</v>
      </c>
      <c r="C232">
        <v>2025</v>
      </c>
      <c r="D232" t="s">
        <v>23</v>
      </c>
      <c r="E232" t="s">
        <v>60</v>
      </c>
      <c r="F232" t="s">
        <v>29</v>
      </c>
      <c r="G232" t="s">
        <v>20</v>
      </c>
      <c r="H232">
        <v>19</v>
      </c>
      <c r="I232">
        <v>9196</v>
      </c>
      <c r="J232">
        <v>14899</v>
      </c>
      <c r="K232">
        <v>1671.31</v>
      </c>
      <c r="L232" s="3">
        <f t="shared" si="3"/>
        <v>0.18174314919530229</v>
      </c>
    </row>
    <row r="233" spans="1:12" x14ac:dyDescent="0.3">
      <c r="A233" s="5" t="s">
        <v>59</v>
      </c>
      <c r="B233" t="s">
        <v>57</v>
      </c>
      <c r="C233">
        <v>2025</v>
      </c>
      <c r="D233" t="s">
        <v>18</v>
      </c>
      <c r="E233" t="s">
        <v>14</v>
      </c>
      <c r="F233" t="s">
        <v>42</v>
      </c>
      <c r="G233" t="s">
        <v>20</v>
      </c>
      <c r="H233">
        <v>4</v>
      </c>
      <c r="I233">
        <v>3648</v>
      </c>
      <c r="J233">
        <v>11172</v>
      </c>
      <c r="K233">
        <v>604.20000000000005</v>
      </c>
      <c r="L233" s="3">
        <f t="shared" si="3"/>
        <v>0.16562500000000002</v>
      </c>
    </row>
    <row r="234" spans="1:12" x14ac:dyDescent="0.3">
      <c r="A234" s="5" t="s">
        <v>215</v>
      </c>
      <c r="B234" t="s">
        <v>85</v>
      </c>
      <c r="C234">
        <v>2025</v>
      </c>
      <c r="D234" t="s">
        <v>23</v>
      </c>
      <c r="E234" t="s">
        <v>28</v>
      </c>
      <c r="F234" t="s">
        <v>35</v>
      </c>
      <c r="G234" t="s">
        <v>20</v>
      </c>
      <c r="H234">
        <v>2</v>
      </c>
      <c r="I234">
        <v>1980</v>
      </c>
      <c r="J234">
        <v>16981</v>
      </c>
      <c r="K234">
        <v>587.1</v>
      </c>
      <c r="L234" s="3">
        <f t="shared" si="3"/>
        <v>0.29651515151515151</v>
      </c>
    </row>
    <row r="235" spans="1:12" x14ac:dyDescent="0.3">
      <c r="A235" s="5" t="s">
        <v>71</v>
      </c>
      <c r="B235" t="s">
        <v>37</v>
      </c>
      <c r="C235">
        <v>2025</v>
      </c>
      <c r="D235" t="s">
        <v>23</v>
      </c>
      <c r="E235" t="s">
        <v>26</v>
      </c>
      <c r="F235" t="s">
        <v>29</v>
      </c>
      <c r="G235" t="s">
        <v>20</v>
      </c>
      <c r="H235">
        <v>16</v>
      </c>
      <c r="I235">
        <v>22192</v>
      </c>
      <c r="J235">
        <v>17309</v>
      </c>
      <c r="K235">
        <v>4360.6400000000003</v>
      </c>
      <c r="L235" s="3">
        <f t="shared" si="3"/>
        <v>0.19649603460706563</v>
      </c>
    </row>
    <row r="236" spans="1:12" x14ac:dyDescent="0.3">
      <c r="A236" s="5" t="s">
        <v>122</v>
      </c>
      <c r="B236" t="s">
        <v>34</v>
      </c>
      <c r="C236">
        <v>2025</v>
      </c>
      <c r="D236" t="s">
        <v>18</v>
      </c>
      <c r="E236" t="s">
        <v>49</v>
      </c>
      <c r="F236" t="s">
        <v>42</v>
      </c>
      <c r="G236" t="s">
        <v>20</v>
      </c>
      <c r="H236">
        <v>6</v>
      </c>
      <c r="I236">
        <v>2922</v>
      </c>
      <c r="J236">
        <v>14683</v>
      </c>
      <c r="K236">
        <v>336.51</v>
      </c>
      <c r="L236" s="3">
        <f t="shared" si="3"/>
        <v>0.11516427104722793</v>
      </c>
    </row>
    <row r="237" spans="1:12" x14ac:dyDescent="0.3">
      <c r="A237" s="5" t="s">
        <v>216</v>
      </c>
      <c r="B237" t="s">
        <v>85</v>
      </c>
      <c r="C237">
        <v>2025</v>
      </c>
      <c r="D237" t="s">
        <v>32</v>
      </c>
      <c r="E237" t="s">
        <v>14</v>
      </c>
      <c r="F237" t="s">
        <v>15</v>
      </c>
      <c r="G237" t="s">
        <v>16</v>
      </c>
      <c r="H237">
        <v>6</v>
      </c>
      <c r="I237">
        <v>2640</v>
      </c>
      <c r="J237">
        <v>19839</v>
      </c>
      <c r="K237">
        <v>755.61</v>
      </c>
      <c r="L237" s="3">
        <f t="shared" si="3"/>
        <v>0.2862159090909091</v>
      </c>
    </row>
    <row r="238" spans="1:12" x14ac:dyDescent="0.3">
      <c r="A238" s="5" t="s">
        <v>124</v>
      </c>
      <c r="B238" t="s">
        <v>48</v>
      </c>
      <c r="C238">
        <v>2025</v>
      </c>
      <c r="D238" t="s">
        <v>23</v>
      </c>
      <c r="E238" t="s">
        <v>49</v>
      </c>
      <c r="F238" t="s">
        <v>19</v>
      </c>
      <c r="G238" t="s">
        <v>20</v>
      </c>
      <c r="H238">
        <v>7</v>
      </c>
      <c r="I238">
        <v>3346</v>
      </c>
      <c r="J238">
        <v>10708</v>
      </c>
      <c r="K238">
        <v>721.6</v>
      </c>
      <c r="L238" s="3">
        <f t="shared" si="3"/>
        <v>0.2156604901374776</v>
      </c>
    </row>
    <row r="239" spans="1:12" x14ac:dyDescent="0.3">
      <c r="A239" s="5" t="s">
        <v>166</v>
      </c>
      <c r="B239" t="s">
        <v>85</v>
      </c>
      <c r="C239">
        <v>2025</v>
      </c>
      <c r="D239" t="s">
        <v>13</v>
      </c>
      <c r="E239" t="s">
        <v>60</v>
      </c>
      <c r="F239" t="s">
        <v>19</v>
      </c>
      <c r="G239" t="s">
        <v>20</v>
      </c>
      <c r="H239">
        <v>6</v>
      </c>
      <c r="I239">
        <v>618</v>
      </c>
      <c r="J239">
        <v>8008</v>
      </c>
      <c r="K239">
        <v>181</v>
      </c>
      <c r="L239" s="3">
        <f t="shared" si="3"/>
        <v>0.29288025889967639</v>
      </c>
    </row>
    <row r="240" spans="1:12" x14ac:dyDescent="0.3">
      <c r="A240" s="5" t="s">
        <v>190</v>
      </c>
      <c r="B240" t="s">
        <v>25</v>
      </c>
      <c r="C240">
        <v>2025</v>
      </c>
      <c r="D240" t="s">
        <v>13</v>
      </c>
      <c r="E240" t="s">
        <v>14</v>
      </c>
      <c r="F240" t="s">
        <v>15</v>
      </c>
      <c r="G240" t="s">
        <v>16</v>
      </c>
      <c r="H240">
        <v>12</v>
      </c>
      <c r="I240">
        <v>3660</v>
      </c>
      <c r="J240">
        <v>14743</v>
      </c>
      <c r="K240">
        <v>1030.9100000000001</v>
      </c>
      <c r="L240" s="3">
        <f t="shared" si="3"/>
        <v>0.28166939890710385</v>
      </c>
    </row>
    <row r="241" spans="1:12" x14ac:dyDescent="0.3">
      <c r="A241" s="5" t="s">
        <v>157</v>
      </c>
      <c r="B241" t="s">
        <v>34</v>
      </c>
      <c r="C241">
        <v>2025</v>
      </c>
      <c r="D241" t="s">
        <v>32</v>
      </c>
      <c r="E241" t="s">
        <v>26</v>
      </c>
      <c r="F241" t="s">
        <v>35</v>
      </c>
      <c r="G241" t="s">
        <v>20</v>
      </c>
      <c r="H241">
        <v>1</v>
      </c>
      <c r="I241">
        <v>990</v>
      </c>
      <c r="J241">
        <v>17955</v>
      </c>
      <c r="K241">
        <v>293.66000000000003</v>
      </c>
      <c r="L241" s="3">
        <f t="shared" si="3"/>
        <v>0.29662626262626263</v>
      </c>
    </row>
    <row r="242" spans="1:12" x14ac:dyDescent="0.3">
      <c r="A242" s="5" t="s">
        <v>122</v>
      </c>
      <c r="B242" t="s">
        <v>34</v>
      </c>
      <c r="C242">
        <v>2025</v>
      </c>
      <c r="D242" t="s">
        <v>23</v>
      </c>
      <c r="E242" t="s">
        <v>60</v>
      </c>
      <c r="F242" t="s">
        <v>35</v>
      </c>
      <c r="G242" t="s">
        <v>20</v>
      </c>
      <c r="H242">
        <v>7</v>
      </c>
      <c r="I242">
        <v>8869</v>
      </c>
      <c r="J242">
        <v>8106</v>
      </c>
      <c r="K242">
        <v>1090.56</v>
      </c>
      <c r="L242" s="3">
        <f t="shared" si="3"/>
        <v>0.12296313000338256</v>
      </c>
    </row>
    <row r="243" spans="1:12" x14ac:dyDescent="0.3">
      <c r="A243" s="5" t="s">
        <v>217</v>
      </c>
      <c r="B243" t="s">
        <v>37</v>
      </c>
      <c r="C243">
        <v>2025</v>
      </c>
      <c r="D243" t="s">
        <v>32</v>
      </c>
      <c r="E243" t="s">
        <v>26</v>
      </c>
      <c r="F243" t="s">
        <v>15</v>
      </c>
      <c r="G243" t="s">
        <v>16</v>
      </c>
      <c r="H243">
        <v>18</v>
      </c>
      <c r="I243">
        <v>6588</v>
      </c>
      <c r="J243">
        <v>19288</v>
      </c>
      <c r="K243">
        <v>1639.82</v>
      </c>
      <c r="L243" s="3">
        <f t="shared" si="3"/>
        <v>0.24891013964784456</v>
      </c>
    </row>
    <row r="244" spans="1:12" x14ac:dyDescent="0.3">
      <c r="A244" s="5" t="s">
        <v>181</v>
      </c>
      <c r="B244" t="s">
        <v>39</v>
      </c>
      <c r="C244">
        <v>2025</v>
      </c>
      <c r="D244" t="s">
        <v>23</v>
      </c>
      <c r="E244" t="s">
        <v>60</v>
      </c>
      <c r="F244" t="s">
        <v>19</v>
      </c>
      <c r="G244" t="s">
        <v>20</v>
      </c>
      <c r="H244">
        <v>7</v>
      </c>
      <c r="I244">
        <v>4081</v>
      </c>
      <c r="J244">
        <v>12157</v>
      </c>
      <c r="K244">
        <v>1175.75</v>
      </c>
      <c r="L244" s="3">
        <f t="shared" si="3"/>
        <v>0.28810340602793433</v>
      </c>
    </row>
    <row r="245" spans="1:12" x14ac:dyDescent="0.3">
      <c r="A245" s="5" t="s">
        <v>198</v>
      </c>
      <c r="B245" t="s">
        <v>37</v>
      </c>
      <c r="C245">
        <v>2025</v>
      </c>
      <c r="D245" t="s">
        <v>32</v>
      </c>
      <c r="E245" t="s">
        <v>26</v>
      </c>
      <c r="F245" t="s">
        <v>62</v>
      </c>
      <c r="G245" t="s">
        <v>63</v>
      </c>
      <c r="H245">
        <v>12</v>
      </c>
      <c r="I245">
        <v>6648</v>
      </c>
      <c r="J245">
        <v>18960</v>
      </c>
      <c r="K245">
        <v>1191.8800000000001</v>
      </c>
      <c r="L245" s="3">
        <f t="shared" si="3"/>
        <v>0.17928399518652227</v>
      </c>
    </row>
    <row r="246" spans="1:12" x14ac:dyDescent="0.3">
      <c r="A246" s="5" t="s">
        <v>200</v>
      </c>
      <c r="B246" t="s">
        <v>31</v>
      </c>
      <c r="C246">
        <v>2025</v>
      </c>
      <c r="D246" t="s">
        <v>32</v>
      </c>
      <c r="E246" t="s">
        <v>49</v>
      </c>
      <c r="F246" t="s">
        <v>42</v>
      </c>
      <c r="G246" t="s">
        <v>20</v>
      </c>
      <c r="H246">
        <v>4</v>
      </c>
      <c r="I246">
        <v>4408</v>
      </c>
      <c r="J246">
        <v>11597</v>
      </c>
      <c r="K246">
        <v>474.36</v>
      </c>
      <c r="L246" s="3">
        <f t="shared" si="3"/>
        <v>0.10761343012704175</v>
      </c>
    </row>
    <row r="247" spans="1:12" x14ac:dyDescent="0.3">
      <c r="A247" s="5" t="s">
        <v>218</v>
      </c>
      <c r="B247" t="s">
        <v>31</v>
      </c>
      <c r="C247">
        <v>2025</v>
      </c>
      <c r="D247" t="s">
        <v>32</v>
      </c>
      <c r="E247" t="s">
        <v>49</v>
      </c>
      <c r="F247" t="s">
        <v>19</v>
      </c>
      <c r="G247" t="s">
        <v>20</v>
      </c>
      <c r="H247">
        <v>20</v>
      </c>
      <c r="I247">
        <v>16020</v>
      </c>
      <c r="J247">
        <v>10854</v>
      </c>
      <c r="K247">
        <v>3540.75</v>
      </c>
      <c r="L247" s="3">
        <f t="shared" si="3"/>
        <v>0.22102059925093634</v>
      </c>
    </row>
    <row r="248" spans="1:12" x14ac:dyDescent="0.3">
      <c r="A248" s="5" t="s">
        <v>219</v>
      </c>
      <c r="B248" t="s">
        <v>45</v>
      </c>
      <c r="C248">
        <v>2025</v>
      </c>
      <c r="D248" t="s">
        <v>18</v>
      </c>
      <c r="E248" t="s">
        <v>14</v>
      </c>
      <c r="F248" t="s">
        <v>42</v>
      </c>
      <c r="G248" t="s">
        <v>20</v>
      </c>
      <c r="H248">
        <v>10</v>
      </c>
      <c r="I248">
        <v>3350</v>
      </c>
      <c r="J248">
        <v>12333</v>
      </c>
      <c r="K248">
        <v>995.05</v>
      </c>
      <c r="L248" s="3">
        <f t="shared" si="3"/>
        <v>0.29702985074626864</v>
      </c>
    </row>
    <row r="249" spans="1:12" x14ac:dyDescent="0.3">
      <c r="A249" s="5" t="s">
        <v>11</v>
      </c>
      <c r="B249" t="s">
        <v>12</v>
      </c>
      <c r="C249">
        <v>2025</v>
      </c>
      <c r="D249" t="s">
        <v>18</v>
      </c>
      <c r="E249" t="s">
        <v>14</v>
      </c>
      <c r="F249" t="s">
        <v>29</v>
      </c>
      <c r="G249" t="s">
        <v>20</v>
      </c>
      <c r="H249">
        <v>3</v>
      </c>
      <c r="I249">
        <v>3639</v>
      </c>
      <c r="J249">
        <v>17963</v>
      </c>
      <c r="K249">
        <v>975.5</v>
      </c>
      <c r="L249" s="3">
        <f t="shared" si="3"/>
        <v>0.26806815059082167</v>
      </c>
    </row>
    <row r="250" spans="1:12" x14ac:dyDescent="0.3">
      <c r="A250" s="5" t="s">
        <v>163</v>
      </c>
      <c r="B250" t="s">
        <v>41</v>
      </c>
      <c r="C250">
        <v>2025</v>
      </c>
      <c r="D250" t="s">
        <v>13</v>
      </c>
      <c r="E250" t="s">
        <v>28</v>
      </c>
      <c r="F250" t="s">
        <v>62</v>
      </c>
      <c r="G250" t="s">
        <v>63</v>
      </c>
      <c r="H250">
        <v>12</v>
      </c>
      <c r="I250">
        <v>12912</v>
      </c>
      <c r="J250">
        <v>7322</v>
      </c>
      <c r="K250">
        <v>2343.29</v>
      </c>
      <c r="L250" s="3">
        <f t="shared" si="3"/>
        <v>0.18148156753407682</v>
      </c>
    </row>
    <row r="251" spans="1:12" x14ac:dyDescent="0.3">
      <c r="A251" s="5" t="s">
        <v>219</v>
      </c>
      <c r="B251" t="s">
        <v>45</v>
      </c>
      <c r="C251">
        <v>2025</v>
      </c>
      <c r="D251" t="s">
        <v>13</v>
      </c>
      <c r="E251" t="s">
        <v>28</v>
      </c>
      <c r="F251" t="s">
        <v>19</v>
      </c>
      <c r="G251" t="s">
        <v>20</v>
      </c>
      <c r="H251">
        <v>18</v>
      </c>
      <c r="I251">
        <v>5994</v>
      </c>
      <c r="J251">
        <v>8949</v>
      </c>
      <c r="K251">
        <v>1476.78</v>
      </c>
      <c r="L251" s="3">
        <f t="shared" si="3"/>
        <v>0.24637637637637638</v>
      </c>
    </row>
    <row r="252" spans="1:12" x14ac:dyDescent="0.3">
      <c r="A252" s="5" t="s">
        <v>169</v>
      </c>
      <c r="B252" t="s">
        <v>34</v>
      </c>
      <c r="C252">
        <v>2025</v>
      </c>
      <c r="D252" t="s">
        <v>23</v>
      </c>
      <c r="E252" t="s">
        <v>14</v>
      </c>
      <c r="F252" t="s">
        <v>19</v>
      </c>
      <c r="G252" t="s">
        <v>20</v>
      </c>
      <c r="H252">
        <v>5</v>
      </c>
      <c r="I252">
        <v>5430</v>
      </c>
      <c r="J252">
        <v>5145</v>
      </c>
      <c r="K252">
        <v>1481.75</v>
      </c>
      <c r="L252" s="3">
        <f t="shared" si="3"/>
        <v>0.27288213627992636</v>
      </c>
    </row>
    <row r="253" spans="1:12" x14ac:dyDescent="0.3">
      <c r="A253" s="5" t="s">
        <v>21</v>
      </c>
      <c r="B253" t="s">
        <v>22</v>
      </c>
      <c r="C253">
        <v>2025</v>
      </c>
      <c r="D253" t="s">
        <v>18</v>
      </c>
      <c r="E253" t="s">
        <v>14</v>
      </c>
      <c r="F253" t="s">
        <v>15</v>
      </c>
      <c r="G253" t="s">
        <v>16</v>
      </c>
      <c r="H253">
        <v>7</v>
      </c>
      <c r="I253">
        <v>2345</v>
      </c>
      <c r="J253">
        <v>18081</v>
      </c>
      <c r="K253">
        <v>382.8</v>
      </c>
      <c r="L253" s="3">
        <f t="shared" si="3"/>
        <v>0.1632409381663113</v>
      </c>
    </row>
    <row r="254" spans="1:12" x14ac:dyDescent="0.3">
      <c r="A254" s="5" t="s">
        <v>138</v>
      </c>
      <c r="B254" t="s">
        <v>41</v>
      </c>
      <c r="C254">
        <v>2025</v>
      </c>
      <c r="D254" t="s">
        <v>13</v>
      </c>
      <c r="E254" t="s">
        <v>60</v>
      </c>
      <c r="F254" t="s">
        <v>35</v>
      </c>
      <c r="G254" t="s">
        <v>20</v>
      </c>
      <c r="H254">
        <v>18</v>
      </c>
      <c r="I254">
        <v>10188</v>
      </c>
      <c r="J254">
        <v>13953</v>
      </c>
      <c r="K254">
        <v>2457.08</v>
      </c>
      <c r="L254" s="3">
        <f t="shared" si="3"/>
        <v>0.24117393011385943</v>
      </c>
    </row>
    <row r="255" spans="1:12" x14ac:dyDescent="0.3">
      <c r="A255" s="5" t="s">
        <v>38</v>
      </c>
      <c r="B255" t="s">
        <v>39</v>
      </c>
      <c r="C255">
        <v>2025</v>
      </c>
      <c r="D255" t="s">
        <v>32</v>
      </c>
      <c r="E255" t="s">
        <v>49</v>
      </c>
      <c r="F255" t="s">
        <v>35</v>
      </c>
      <c r="G255" t="s">
        <v>20</v>
      </c>
      <c r="H255">
        <v>12</v>
      </c>
      <c r="I255">
        <v>7500</v>
      </c>
      <c r="J255">
        <v>14676</v>
      </c>
      <c r="K255">
        <v>850.89</v>
      </c>
      <c r="L255" s="3">
        <f t="shared" si="3"/>
        <v>0.113452</v>
      </c>
    </row>
    <row r="256" spans="1:12" x14ac:dyDescent="0.3">
      <c r="A256" s="5" t="s">
        <v>91</v>
      </c>
      <c r="B256" t="s">
        <v>39</v>
      </c>
      <c r="C256">
        <v>2025</v>
      </c>
      <c r="D256" t="s">
        <v>13</v>
      </c>
      <c r="E256" t="s">
        <v>49</v>
      </c>
      <c r="F256" t="s">
        <v>35</v>
      </c>
      <c r="G256" t="s">
        <v>20</v>
      </c>
      <c r="H256">
        <v>16</v>
      </c>
      <c r="I256">
        <v>21968</v>
      </c>
      <c r="J256">
        <v>15734</v>
      </c>
      <c r="K256">
        <v>4613.3500000000004</v>
      </c>
      <c r="L256" s="3">
        <f t="shared" si="3"/>
        <v>0.2100031864530226</v>
      </c>
    </row>
    <row r="257" spans="1:12" x14ac:dyDescent="0.3">
      <c r="A257" s="5" t="s">
        <v>220</v>
      </c>
      <c r="B257" t="s">
        <v>37</v>
      </c>
      <c r="C257">
        <v>2025</v>
      </c>
      <c r="D257" t="s">
        <v>18</v>
      </c>
      <c r="E257" t="s">
        <v>26</v>
      </c>
      <c r="F257" t="s">
        <v>15</v>
      </c>
      <c r="G257" t="s">
        <v>16</v>
      </c>
      <c r="H257">
        <v>19</v>
      </c>
      <c r="I257">
        <v>28139</v>
      </c>
      <c r="J257">
        <v>19634</v>
      </c>
      <c r="K257">
        <v>5147.13</v>
      </c>
      <c r="L257" s="3">
        <f t="shared" si="3"/>
        <v>0.18291801414407052</v>
      </c>
    </row>
    <row r="258" spans="1:12" x14ac:dyDescent="0.3">
      <c r="A258" s="5" t="s">
        <v>155</v>
      </c>
      <c r="B258" t="s">
        <v>85</v>
      </c>
      <c r="C258">
        <v>2025</v>
      </c>
      <c r="D258" t="s">
        <v>32</v>
      </c>
      <c r="E258" t="s">
        <v>26</v>
      </c>
      <c r="F258" t="s">
        <v>35</v>
      </c>
      <c r="G258" t="s">
        <v>20</v>
      </c>
      <c r="H258">
        <v>20</v>
      </c>
      <c r="I258">
        <v>21280</v>
      </c>
      <c r="J258">
        <v>7747</v>
      </c>
      <c r="K258">
        <v>3652.87</v>
      </c>
      <c r="L258" s="3">
        <f t="shared" si="3"/>
        <v>0.17165742481203006</v>
      </c>
    </row>
    <row r="259" spans="1:12" x14ac:dyDescent="0.3">
      <c r="A259" s="5" t="s">
        <v>221</v>
      </c>
      <c r="B259" t="s">
        <v>12</v>
      </c>
      <c r="C259">
        <v>2025</v>
      </c>
      <c r="D259" t="s">
        <v>23</v>
      </c>
      <c r="E259" t="s">
        <v>26</v>
      </c>
      <c r="F259" t="s">
        <v>35</v>
      </c>
      <c r="G259" t="s">
        <v>20</v>
      </c>
      <c r="H259">
        <v>2</v>
      </c>
      <c r="I259">
        <v>800</v>
      </c>
      <c r="J259">
        <v>7008</v>
      </c>
      <c r="K259">
        <v>98.09</v>
      </c>
      <c r="L259" s="3">
        <f t="shared" ref="L259:L322" si="4">K259/I259</f>
        <v>0.1226125</v>
      </c>
    </row>
    <row r="260" spans="1:12" x14ac:dyDescent="0.3">
      <c r="A260" s="5" t="s">
        <v>222</v>
      </c>
      <c r="B260" t="s">
        <v>37</v>
      </c>
      <c r="C260">
        <v>2025</v>
      </c>
      <c r="D260" t="s">
        <v>18</v>
      </c>
      <c r="E260" t="s">
        <v>26</v>
      </c>
      <c r="F260" t="s">
        <v>62</v>
      </c>
      <c r="G260" t="s">
        <v>63</v>
      </c>
      <c r="H260">
        <v>8</v>
      </c>
      <c r="I260">
        <v>4256</v>
      </c>
      <c r="J260">
        <v>8376</v>
      </c>
      <c r="K260">
        <v>774.53</v>
      </c>
      <c r="L260" s="3">
        <f t="shared" si="4"/>
        <v>0.18198543233082706</v>
      </c>
    </row>
    <row r="261" spans="1:12" x14ac:dyDescent="0.3">
      <c r="A261" s="5" t="s">
        <v>172</v>
      </c>
      <c r="B261" t="s">
        <v>22</v>
      </c>
      <c r="C261">
        <v>2025</v>
      </c>
      <c r="D261" t="s">
        <v>32</v>
      </c>
      <c r="E261" t="s">
        <v>28</v>
      </c>
      <c r="F261" t="s">
        <v>15</v>
      </c>
      <c r="G261" t="s">
        <v>16</v>
      </c>
      <c r="H261">
        <v>2</v>
      </c>
      <c r="I261">
        <v>2634</v>
      </c>
      <c r="J261">
        <v>16381</v>
      </c>
      <c r="K261">
        <v>381.5</v>
      </c>
      <c r="L261" s="3">
        <f t="shared" si="4"/>
        <v>0.14483675018982536</v>
      </c>
    </row>
    <row r="262" spans="1:12" x14ac:dyDescent="0.3">
      <c r="A262" s="5" t="s">
        <v>223</v>
      </c>
      <c r="B262" t="s">
        <v>34</v>
      </c>
      <c r="C262">
        <v>2025</v>
      </c>
      <c r="D262" t="s">
        <v>23</v>
      </c>
      <c r="E262" t="s">
        <v>28</v>
      </c>
      <c r="F262" t="s">
        <v>19</v>
      </c>
      <c r="G262" t="s">
        <v>20</v>
      </c>
      <c r="H262">
        <v>8</v>
      </c>
      <c r="I262">
        <v>1848</v>
      </c>
      <c r="J262">
        <v>13113</v>
      </c>
      <c r="K262">
        <v>518.85</v>
      </c>
      <c r="L262" s="3">
        <f t="shared" si="4"/>
        <v>0.28076298701298702</v>
      </c>
    </row>
    <row r="263" spans="1:12" x14ac:dyDescent="0.3">
      <c r="A263" s="5" t="s">
        <v>224</v>
      </c>
      <c r="B263" t="s">
        <v>41</v>
      </c>
      <c r="C263">
        <v>2025</v>
      </c>
      <c r="D263" t="s">
        <v>23</v>
      </c>
      <c r="E263" t="s">
        <v>14</v>
      </c>
      <c r="F263" t="s">
        <v>19</v>
      </c>
      <c r="G263" t="s">
        <v>20</v>
      </c>
      <c r="H263">
        <v>20</v>
      </c>
      <c r="I263">
        <v>27260</v>
      </c>
      <c r="J263">
        <v>9140</v>
      </c>
      <c r="K263">
        <v>3788.27</v>
      </c>
      <c r="L263" s="3">
        <f t="shared" si="4"/>
        <v>0.13896808510638298</v>
      </c>
    </row>
    <row r="264" spans="1:12" x14ac:dyDescent="0.3">
      <c r="A264" s="5" t="s">
        <v>225</v>
      </c>
      <c r="B264" t="s">
        <v>57</v>
      </c>
      <c r="C264">
        <v>2025</v>
      </c>
      <c r="D264" t="s">
        <v>13</v>
      </c>
      <c r="E264" t="s">
        <v>49</v>
      </c>
      <c r="F264" t="s">
        <v>62</v>
      </c>
      <c r="G264" t="s">
        <v>63</v>
      </c>
      <c r="H264">
        <v>16</v>
      </c>
      <c r="I264">
        <v>19136</v>
      </c>
      <c r="J264">
        <v>6779</v>
      </c>
      <c r="K264">
        <v>4864.01</v>
      </c>
      <c r="L264" s="3">
        <f t="shared" si="4"/>
        <v>0.25418112458193981</v>
      </c>
    </row>
    <row r="265" spans="1:12" x14ac:dyDescent="0.3">
      <c r="A265" s="5" t="s">
        <v>226</v>
      </c>
      <c r="B265" t="s">
        <v>31</v>
      </c>
      <c r="C265">
        <v>2025</v>
      </c>
      <c r="D265" t="s">
        <v>13</v>
      </c>
      <c r="E265" t="s">
        <v>60</v>
      </c>
      <c r="F265" t="s">
        <v>62</v>
      </c>
      <c r="G265" t="s">
        <v>63</v>
      </c>
      <c r="H265">
        <v>11</v>
      </c>
      <c r="I265">
        <v>11451</v>
      </c>
      <c r="J265">
        <v>5188</v>
      </c>
      <c r="K265">
        <v>2590.89</v>
      </c>
      <c r="L265" s="3">
        <f t="shared" si="4"/>
        <v>0.22625884202253077</v>
      </c>
    </row>
    <row r="266" spans="1:12" x14ac:dyDescent="0.3">
      <c r="A266" s="5" t="s">
        <v>227</v>
      </c>
      <c r="B266" t="s">
        <v>85</v>
      </c>
      <c r="C266">
        <v>2025</v>
      </c>
      <c r="D266" t="s">
        <v>23</v>
      </c>
      <c r="E266" t="s">
        <v>60</v>
      </c>
      <c r="F266" t="s">
        <v>29</v>
      </c>
      <c r="G266" t="s">
        <v>20</v>
      </c>
      <c r="H266">
        <v>13</v>
      </c>
      <c r="I266">
        <v>9087</v>
      </c>
      <c r="J266">
        <v>7538</v>
      </c>
      <c r="K266">
        <v>1982.38</v>
      </c>
      <c r="L266" s="3">
        <f t="shared" si="4"/>
        <v>0.21815560691097172</v>
      </c>
    </row>
    <row r="267" spans="1:12" x14ac:dyDescent="0.3">
      <c r="A267" s="5" t="s">
        <v>228</v>
      </c>
      <c r="B267" t="s">
        <v>57</v>
      </c>
      <c r="C267">
        <v>2025</v>
      </c>
      <c r="D267" t="s">
        <v>32</v>
      </c>
      <c r="E267" t="s">
        <v>26</v>
      </c>
      <c r="F267" t="s">
        <v>15</v>
      </c>
      <c r="G267" t="s">
        <v>16</v>
      </c>
      <c r="H267">
        <v>7</v>
      </c>
      <c r="I267">
        <v>5887</v>
      </c>
      <c r="J267">
        <v>18640</v>
      </c>
      <c r="K267">
        <v>1589.98</v>
      </c>
      <c r="L267" s="3">
        <f t="shared" si="4"/>
        <v>0.27008323424494651</v>
      </c>
    </row>
    <row r="268" spans="1:12" x14ac:dyDescent="0.3">
      <c r="A268" s="5" t="s">
        <v>225</v>
      </c>
      <c r="B268" t="s">
        <v>57</v>
      </c>
      <c r="C268">
        <v>2025</v>
      </c>
      <c r="D268" t="s">
        <v>32</v>
      </c>
      <c r="E268" t="s">
        <v>26</v>
      </c>
      <c r="F268" t="s">
        <v>19</v>
      </c>
      <c r="G268" t="s">
        <v>20</v>
      </c>
      <c r="H268">
        <v>20</v>
      </c>
      <c r="I268">
        <v>15560</v>
      </c>
      <c r="J268">
        <v>19977</v>
      </c>
      <c r="K268">
        <v>1594.68</v>
      </c>
      <c r="L268" s="3">
        <f t="shared" si="4"/>
        <v>0.10248586118251929</v>
      </c>
    </row>
    <row r="269" spans="1:12" x14ac:dyDescent="0.3">
      <c r="A269" s="5" t="s">
        <v>167</v>
      </c>
      <c r="B269" t="s">
        <v>45</v>
      </c>
      <c r="C269">
        <v>2025</v>
      </c>
      <c r="D269" t="s">
        <v>32</v>
      </c>
      <c r="E269" t="s">
        <v>26</v>
      </c>
      <c r="F269" t="s">
        <v>29</v>
      </c>
      <c r="G269" t="s">
        <v>20</v>
      </c>
      <c r="H269">
        <v>1</v>
      </c>
      <c r="I269">
        <v>593</v>
      </c>
      <c r="J269">
        <v>5390</v>
      </c>
      <c r="K269">
        <v>117.7</v>
      </c>
      <c r="L269" s="3">
        <f t="shared" si="4"/>
        <v>0.19848229342327151</v>
      </c>
    </row>
    <row r="270" spans="1:12" x14ac:dyDescent="0.3">
      <c r="A270" s="5" t="s">
        <v>229</v>
      </c>
      <c r="B270" t="s">
        <v>85</v>
      </c>
      <c r="C270">
        <v>2025</v>
      </c>
      <c r="D270" t="s">
        <v>18</v>
      </c>
      <c r="E270" t="s">
        <v>60</v>
      </c>
      <c r="F270" t="s">
        <v>19</v>
      </c>
      <c r="G270" t="s">
        <v>20</v>
      </c>
      <c r="H270">
        <v>18</v>
      </c>
      <c r="I270">
        <v>3024</v>
      </c>
      <c r="J270">
        <v>6611</v>
      </c>
      <c r="K270">
        <v>408.58</v>
      </c>
      <c r="L270" s="3">
        <f t="shared" si="4"/>
        <v>0.13511243386243385</v>
      </c>
    </row>
    <row r="271" spans="1:12" x14ac:dyDescent="0.3">
      <c r="A271" s="5" t="s">
        <v>33</v>
      </c>
      <c r="B271" t="s">
        <v>34</v>
      </c>
      <c r="C271">
        <v>2025</v>
      </c>
      <c r="D271" t="s">
        <v>18</v>
      </c>
      <c r="E271" t="s">
        <v>49</v>
      </c>
      <c r="F271" t="s">
        <v>35</v>
      </c>
      <c r="G271" t="s">
        <v>20</v>
      </c>
      <c r="H271">
        <v>10</v>
      </c>
      <c r="I271">
        <v>10920</v>
      </c>
      <c r="J271">
        <v>11968</v>
      </c>
      <c r="K271">
        <v>2911.59</v>
      </c>
      <c r="L271" s="3">
        <f t="shared" si="4"/>
        <v>0.26662912087912088</v>
      </c>
    </row>
    <row r="272" spans="1:12" x14ac:dyDescent="0.3">
      <c r="A272" s="5" t="s">
        <v>230</v>
      </c>
      <c r="B272" t="s">
        <v>41</v>
      </c>
      <c r="C272">
        <v>2025</v>
      </c>
      <c r="D272" t="s">
        <v>32</v>
      </c>
      <c r="E272" t="s">
        <v>14</v>
      </c>
      <c r="F272" t="s">
        <v>15</v>
      </c>
      <c r="G272" t="s">
        <v>16</v>
      </c>
      <c r="H272">
        <v>5</v>
      </c>
      <c r="I272">
        <v>7345</v>
      </c>
      <c r="J272">
        <v>16251</v>
      </c>
      <c r="K272">
        <v>1840.53</v>
      </c>
      <c r="L272" s="3">
        <f t="shared" si="4"/>
        <v>0.25058270932607213</v>
      </c>
    </row>
    <row r="273" spans="1:12" x14ac:dyDescent="0.3">
      <c r="A273" s="5" t="s">
        <v>83</v>
      </c>
      <c r="B273" t="s">
        <v>48</v>
      </c>
      <c r="C273">
        <v>2025</v>
      </c>
      <c r="D273" t="s">
        <v>18</v>
      </c>
      <c r="E273" t="s">
        <v>28</v>
      </c>
      <c r="F273" t="s">
        <v>35</v>
      </c>
      <c r="G273" t="s">
        <v>20</v>
      </c>
      <c r="H273">
        <v>6</v>
      </c>
      <c r="I273">
        <v>3180</v>
      </c>
      <c r="J273">
        <v>18645</v>
      </c>
      <c r="K273">
        <v>482.65</v>
      </c>
      <c r="L273" s="3">
        <f t="shared" si="4"/>
        <v>0.15177672955974841</v>
      </c>
    </row>
    <row r="274" spans="1:12" x14ac:dyDescent="0.3">
      <c r="A274" s="5" t="s">
        <v>231</v>
      </c>
      <c r="B274" t="s">
        <v>41</v>
      </c>
      <c r="C274">
        <v>2025</v>
      </c>
      <c r="D274" t="s">
        <v>18</v>
      </c>
      <c r="E274" t="s">
        <v>49</v>
      </c>
      <c r="F274" t="s">
        <v>15</v>
      </c>
      <c r="G274" t="s">
        <v>16</v>
      </c>
      <c r="H274">
        <v>19</v>
      </c>
      <c r="I274">
        <v>5472</v>
      </c>
      <c r="J274">
        <v>15220</v>
      </c>
      <c r="K274">
        <v>553.39</v>
      </c>
      <c r="L274" s="3">
        <f t="shared" si="4"/>
        <v>0.1011312134502924</v>
      </c>
    </row>
    <row r="275" spans="1:12" x14ac:dyDescent="0.3">
      <c r="A275" s="5" t="s">
        <v>232</v>
      </c>
      <c r="B275" t="s">
        <v>37</v>
      </c>
      <c r="C275">
        <v>2025</v>
      </c>
      <c r="D275" t="s">
        <v>13</v>
      </c>
      <c r="E275" t="s">
        <v>26</v>
      </c>
      <c r="F275" t="s">
        <v>35</v>
      </c>
      <c r="G275" t="s">
        <v>20</v>
      </c>
      <c r="H275">
        <v>20</v>
      </c>
      <c r="I275">
        <v>26720</v>
      </c>
      <c r="J275">
        <v>17239</v>
      </c>
      <c r="K275">
        <v>2842.18</v>
      </c>
      <c r="L275" s="3">
        <f t="shared" si="4"/>
        <v>0.10636901197604789</v>
      </c>
    </row>
    <row r="276" spans="1:12" x14ac:dyDescent="0.3">
      <c r="A276" s="5" t="s">
        <v>108</v>
      </c>
      <c r="B276" t="s">
        <v>37</v>
      </c>
      <c r="C276">
        <v>2025</v>
      </c>
      <c r="D276" t="s">
        <v>23</v>
      </c>
      <c r="E276" t="s">
        <v>60</v>
      </c>
      <c r="F276" t="s">
        <v>42</v>
      </c>
      <c r="G276" t="s">
        <v>20</v>
      </c>
      <c r="H276">
        <v>13</v>
      </c>
      <c r="I276">
        <v>2106</v>
      </c>
      <c r="J276">
        <v>6305</v>
      </c>
      <c r="K276">
        <v>448.07</v>
      </c>
      <c r="L276" s="3">
        <f t="shared" si="4"/>
        <v>0.2127587844254511</v>
      </c>
    </row>
    <row r="277" spans="1:12" x14ac:dyDescent="0.3">
      <c r="A277" s="5" t="s">
        <v>66</v>
      </c>
      <c r="B277" t="s">
        <v>12</v>
      </c>
      <c r="C277">
        <v>2025</v>
      </c>
      <c r="D277" t="s">
        <v>23</v>
      </c>
      <c r="E277" t="s">
        <v>28</v>
      </c>
      <c r="F277" t="s">
        <v>19</v>
      </c>
      <c r="G277" t="s">
        <v>20</v>
      </c>
      <c r="H277">
        <v>20</v>
      </c>
      <c r="I277">
        <v>25180</v>
      </c>
      <c r="J277">
        <v>10271</v>
      </c>
      <c r="K277">
        <v>7355.74</v>
      </c>
      <c r="L277" s="3">
        <f t="shared" si="4"/>
        <v>0.29212629070691026</v>
      </c>
    </row>
    <row r="278" spans="1:12" x14ac:dyDescent="0.3">
      <c r="A278" s="5" t="s">
        <v>79</v>
      </c>
      <c r="B278" t="s">
        <v>39</v>
      </c>
      <c r="C278">
        <v>2025</v>
      </c>
      <c r="D278" t="s">
        <v>32</v>
      </c>
      <c r="E278" t="s">
        <v>14</v>
      </c>
      <c r="F278" t="s">
        <v>42</v>
      </c>
      <c r="G278" t="s">
        <v>20</v>
      </c>
      <c r="H278">
        <v>3</v>
      </c>
      <c r="I278">
        <v>2847</v>
      </c>
      <c r="J278">
        <v>16485</v>
      </c>
      <c r="K278">
        <v>392.53</v>
      </c>
      <c r="L278" s="3">
        <f t="shared" si="4"/>
        <v>0.13787495609413417</v>
      </c>
    </row>
    <row r="279" spans="1:12" x14ac:dyDescent="0.3">
      <c r="A279" s="5" t="s">
        <v>233</v>
      </c>
      <c r="B279" t="s">
        <v>34</v>
      </c>
      <c r="C279">
        <v>2025</v>
      </c>
      <c r="D279" t="s">
        <v>32</v>
      </c>
      <c r="E279" t="s">
        <v>26</v>
      </c>
      <c r="F279" t="s">
        <v>62</v>
      </c>
      <c r="G279" t="s">
        <v>63</v>
      </c>
      <c r="H279">
        <v>6</v>
      </c>
      <c r="I279">
        <v>3654</v>
      </c>
      <c r="J279">
        <v>19682</v>
      </c>
      <c r="K279">
        <v>446.22</v>
      </c>
      <c r="L279" s="3">
        <f t="shared" si="4"/>
        <v>0.12211822660098523</v>
      </c>
    </row>
    <row r="280" spans="1:12" x14ac:dyDescent="0.3">
      <c r="A280" s="5" t="s">
        <v>234</v>
      </c>
      <c r="B280" t="s">
        <v>85</v>
      </c>
      <c r="C280">
        <v>2025</v>
      </c>
      <c r="D280" t="s">
        <v>23</v>
      </c>
      <c r="E280" t="s">
        <v>14</v>
      </c>
      <c r="F280" t="s">
        <v>29</v>
      </c>
      <c r="G280" t="s">
        <v>20</v>
      </c>
      <c r="H280">
        <v>10</v>
      </c>
      <c r="I280">
        <v>9750</v>
      </c>
      <c r="J280">
        <v>10564</v>
      </c>
      <c r="K280">
        <v>2434.46</v>
      </c>
      <c r="L280" s="3">
        <f t="shared" si="4"/>
        <v>0.24968820512820514</v>
      </c>
    </row>
    <row r="281" spans="1:12" x14ac:dyDescent="0.3">
      <c r="A281" s="5" t="s">
        <v>235</v>
      </c>
      <c r="B281" t="s">
        <v>57</v>
      </c>
      <c r="C281">
        <v>2025</v>
      </c>
      <c r="D281" t="s">
        <v>32</v>
      </c>
      <c r="E281" t="s">
        <v>60</v>
      </c>
      <c r="F281" t="s">
        <v>29</v>
      </c>
      <c r="G281" t="s">
        <v>20</v>
      </c>
      <c r="H281">
        <v>14</v>
      </c>
      <c r="I281">
        <v>9674</v>
      </c>
      <c r="J281">
        <v>8885</v>
      </c>
      <c r="K281">
        <v>1350.35</v>
      </c>
      <c r="L281" s="3">
        <f t="shared" si="4"/>
        <v>0.1395854868720281</v>
      </c>
    </row>
    <row r="282" spans="1:12" x14ac:dyDescent="0.3">
      <c r="A282" s="5" t="s">
        <v>206</v>
      </c>
      <c r="B282" t="s">
        <v>12</v>
      </c>
      <c r="C282">
        <v>2025</v>
      </c>
      <c r="D282" t="s">
        <v>23</v>
      </c>
      <c r="E282" t="s">
        <v>28</v>
      </c>
      <c r="F282" t="s">
        <v>19</v>
      </c>
      <c r="G282" t="s">
        <v>20</v>
      </c>
      <c r="H282">
        <v>1</v>
      </c>
      <c r="I282">
        <v>357</v>
      </c>
      <c r="J282">
        <v>11304</v>
      </c>
      <c r="K282">
        <v>57.09</v>
      </c>
      <c r="L282" s="3">
        <f t="shared" si="4"/>
        <v>0.15991596638655464</v>
      </c>
    </row>
    <row r="283" spans="1:12" x14ac:dyDescent="0.3">
      <c r="A283" s="5" t="s">
        <v>120</v>
      </c>
      <c r="B283" t="s">
        <v>37</v>
      </c>
      <c r="C283">
        <v>2025</v>
      </c>
      <c r="D283" t="s">
        <v>23</v>
      </c>
      <c r="E283" t="s">
        <v>60</v>
      </c>
      <c r="F283" t="s">
        <v>42</v>
      </c>
      <c r="G283" t="s">
        <v>20</v>
      </c>
      <c r="H283">
        <v>18</v>
      </c>
      <c r="I283">
        <v>5544</v>
      </c>
      <c r="J283">
        <v>11624</v>
      </c>
      <c r="K283">
        <v>601.41</v>
      </c>
      <c r="L283" s="3">
        <f t="shared" si="4"/>
        <v>0.10847943722943722</v>
      </c>
    </row>
    <row r="284" spans="1:12" x14ac:dyDescent="0.3">
      <c r="A284" s="5" t="s">
        <v>230</v>
      </c>
      <c r="B284" t="s">
        <v>41</v>
      </c>
      <c r="C284">
        <v>2025</v>
      </c>
      <c r="D284" t="s">
        <v>13</v>
      </c>
      <c r="E284" t="s">
        <v>49</v>
      </c>
      <c r="F284" t="s">
        <v>29</v>
      </c>
      <c r="G284" t="s">
        <v>20</v>
      </c>
      <c r="H284">
        <v>17</v>
      </c>
      <c r="I284">
        <v>12580</v>
      </c>
      <c r="J284">
        <v>16342</v>
      </c>
      <c r="K284">
        <v>3745.99</v>
      </c>
      <c r="L284" s="3">
        <f t="shared" si="4"/>
        <v>0.29777344992050875</v>
      </c>
    </row>
    <row r="285" spans="1:12" x14ac:dyDescent="0.3">
      <c r="A285" s="5" t="s">
        <v>236</v>
      </c>
      <c r="B285" t="s">
        <v>25</v>
      </c>
      <c r="C285">
        <v>2025</v>
      </c>
      <c r="D285" t="s">
        <v>23</v>
      </c>
      <c r="E285" t="s">
        <v>26</v>
      </c>
      <c r="F285" t="s">
        <v>29</v>
      </c>
      <c r="G285" t="s">
        <v>20</v>
      </c>
      <c r="H285">
        <v>19</v>
      </c>
      <c r="I285">
        <v>12217</v>
      </c>
      <c r="J285">
        <v>8921</v>
      </c>
      <c r="K285">
        <v>3391.3</v>
      </c>
      <c r="L285" s="3">
        <f t="shared" si="4"/>
        <v>0.27758860604076291</v>
      </c>
    </row>
    <row r="286" spans="1:12" x14ac:dyDescent="0.3">
      <c r="A286" s="5" t="s">
        <v>54</v>
      </c>
      <c r="B286" t="s">
        <v>22</v>
      </c>
      <c r="C286">
        <v>2025</v>
      </c>
      <c r="D286" t="s">
        <v>23</v>
      </c>
      <c r="E286" t="s">
        <v>60</v>
      </c>
      <c r="F286" t="s">
        <v>29</v>
      </c>
      <c r="G286" t="s">
        <v>20</v>
      </c>
      <c r="H286">
        <v>6</v>
      </c>
      <c r="I286">
        <v>996</v>
      </c>
      <c r="J286">
        <v>6441</v>
      </c>
      <c r="K286">
        <v>285.33</v>
      </c>
      <c r="L286" s="3">
        <f t="shared" si="4"/>
        <v>0.28647590361445779</v>
      </c>
    </row>
    <row r="287" spans="1:12" x14ac:dyDescent="0.3">
      <c r="A287" s="5" t="s">
        <v>222</v>
      </c>
      <c r="B287" t="s">
        <v>37</v>
      </c>
      <c r="C287">
        <v>2025</v>
      </c>
      <c r="D287" t="s">
        <v>13</v>
      </c>
      <c r="E287" t="s">
        <v>60</v>
      </c>
      <c r="F287" t="s">
        <v>42</v>
      </c>
      <c r="G287" t="s">
        <v>20</v>
      </c>
      <c r="H287">
        <v>18</v>
      </c>
      <c r="I287">
        <v>13860</v>
      </c>
      <c r="J287">
        <v>8461</v>
      </c>
      <c r="K287">
        <v>2187.67</v>
      </c>
      <c r="L287" s="3">
        <f t="shared" si="4"/>
        <v>0.15784054834054834</v>
      </c>
    </row>
    <row r="288" spans="1:12" x14ac:dyDescent="0.3">
      <c r="A288" s="5" t="s">
        <v>237</v>
      </c>
      <c r="B288" t="s">
        <v>39</v>
      </c>
      <c r="C288">
        <v>2025</v>
      </c>
      <c r="D288" t="s">
        <v>13</v>
      </c>
      <c r="E288" t="s">
        <v>26</v>
      </c>
      <c r="F288" t="s">
        <v>42</v>
      </c>
      <c r="G288" t="s">
        <v>20</v>
      </c>
      <c r="H288">
        <v>3</v>
      </c>
      <c r="I288">
        <v>3003</v>
      </c>
      <c r="J288">
        <v>10650</v>
      </c>
      <c r="K288">
        <v>592.79999999999995</v>
      </c>
      <c r="L288" s="3">
        <f t="shared" si="4"/>
        <v>0.19740259740259739</v>
      </c>
    </row>
    <row r="289" spans="1:12" x14ac:dyDescent="0.3">
      <c r="A289" s="5" t="s">
        <v>238</v>
      </c>
      <c r="B289" t="s">
        <v>41</v>
      </c>
      <c r="C289">
        <v>2025</v>
      </c>
      <c r="D289" t="s">
        <v>32</v>
      </c>
      <c r="E289" t="s">
        <v>60</v>
      </c>
      <c r="F289" t="s">
        <v>35</v>
      </c>
      <c r="G289" t="s">
        <v>20</v>
      </c>
      <c r="H289">
        <v>9</v>
      </c>
      <c r="I289">
        <v>12150</v>
      </c>
      <c r="J289">
        <v>9033</v>
      </c>
      <c r="K289">
        <v>2138.25</v>
      </c>
      <c r="L289" s="3">
        <f t="shared" si="4"/>
        <v>0.17598765432098765</v>
      </c>
    </row>
    <row r="290" spans="1:12" x14ac:dyDescent="0.3">
      <c r="A290" s="5" t="s">
        <v>121</v>
      </c>
      <c r="B290" t="s">
        <v>12</v>
      </c>
      <c r="C290">
        <v>2025</v>
      </c>
      <c r="D290" t="s">
        <v>13</v>
      </c>
      <c r="E290" t="s">
        <v>49</v>
      </c>
      <c r="F290" t="s">
        <v>19</v>
      </c>
      <c r="G290" t="s">
        <v>20</v>
      </c>
      <c r="H290">
        <v>3</v>
      </c>
      <c r="I290">
        <v>3231</v>
      </c>
      <c r="J290">
        <v>18841</v>
      </c>
      <c r="K290">
        <v>574.74</v>
      </c>
      <c r="L290" s="3">
        <f t="shared" si="4"/>
        <v>0.17788300835654597</v>
      </c>
    </row>
    <row r="291" spans="1:12" x14ac:dyDescent="0.3">
      <c r="A291" s="5" t="s">
        <v>220</v>
      </c>
      <c r="B291" t="s">
        <v>37</v>
      </c>
      <c r="C291">
        <v>2025</v>
      </c>
      <c r="D291" t="s">
        <v>13</v>
      </c>
      <c r="E291" t="s">
        <v>28</v>
      </c>
      <c r="F291" t="s">
        <v>62</v>
      </c>
      <c r="G291" t="s">
        <v>63</v>
      </c>
      <c r="H291">
        <v>2</v>
      </c>
      <c r="I291">
        <v>808</v>
      </c>
      <c r="J291">
        <v>9065</v>
      </c>
      <c r="K291">
        <v>157.16999999999999</v>
      </c>
      <c r="L291" s="3">
        <f t="shared" si="4"/>
        <v>0.19451732673267325</v>
      </c>
    </row>
    <row r="292" spans="1:12" x14ac:dyDescent="0.3">
      <c r="A292" s="5" t="s">
        <v>162</v>
      </c>
      <c r="B292" t="s">
        <v>25</v>
      </c>
      <c r="C292">
        <v>2025</v>
      </c>
      <c r="D292" t="s">
        <v>32</v>
      </c>
      <c r="E292" t="s">
        <v>26</v>
      </c>
      <c r="F292" t="s">
        <v>15</v>
      </c>
      <c r="G292" t="s">
        <v>16</v>
      </c>
      <c r="H292">
        <v>13</v>
      </c>
      <c r="I292">
        <v>1443</v>
      </c>
      <c r="J292">
        <v>11633</v>
      </c>
      <c r="K292">
        <v>269.26</v>
      </c>
      <c r="L292" s="3">
        <f t="shared" si="4"/>
        <v>0.18659736659736659</v>
      </c>
    </row>
    <row r="293" spans="1:12" x14ac:dyDescent="0.3">
      <c r="A293" s="5" t="s">
        <v>183</v>
      </c>
      <c r="B293" t="s">
        <v>31</v>
      </c>
      <c r="C293">
        <v>2025</v>
      </c>
      <c r="D293" t="s">
        <v>32</v>
      </c>
      <c r="E293" t="s">
        <v>26</v>
      </c>
      <c r="F293" t="s">
        <v>19</v>
      </c>
      <c r="G293" t="s">
        <v>20</v>
      </c>
      <c r="H293">
        <v>11</v>
      </c>
      <c r="I293">
        <v>15686</v>
      </c>
      <c r="J293">
        <v>12040</v>
      </c>
      <c r="K293">
        <v>2994.34</v>
      </c>
      <c r="L293" s="3">
        <f t="shared" si="4"/>
        <v>0.19089251561902335</v>
      </c>
    </row>
    <row r="294" spans="1:12" x14ac:dyDescent="0.3">
      <c r="A294" s="5" t="s">
        <v>79</v>
      </c>
      <c r="B294" t="s">
        <v>39</v>
      </c>
      <c r="C294">
        <v>2025</v>
      </c>
      <c r="D294" t="s">
        <v>23</v>
      </c>
      <c r="E294" t="s">
        <v>60</v>
      </c>
      <c r="F294" t="s">
        <v>35</v>
      </c>
      <c r="G294" t="s">
        <v>20</v>
      </c>
      <c r="H294">
        <v>20</v>
      </c>
      <c r="I294">
        <v>28860</v>
      </c>
      <c r="J294">
        <v>6285</v>
      </c>
      <c r="K294">
        <v>8425.39</v>
      </c>
      <c r="L294" s="3">
        <f t="shared" si="4"/>
        <v>0.29194005544005541</v>
      </c>
    </row>
    <row r="295" spans="1:12" x14ac:dyDescent="0.3">
      <c r="A295" s="5" t="s">
        <v>239</v>
      </c>
      <c r="B295" t="s">
        <v>37</v>
      </c>
      <c r="C295">
        <v>2025</v>
      </c>
      <c r="D295" t="s">
        <v>32</v>
      </c>
      <c r="E295" t="s">
        <v>14</v>
      </c>
      <c r="F295" t="s">
        <v>29</v>
      </c>
      <c r="G295" t="s">
        <v>20</v>
      </c>
      <c r="H295">
        <v>4</v>
      </c>
      <c r="I295">
        <v>5268</v>
      </c>
      <c r="J295">
        <v>8796</v>
      </c>
      <c r="K295">
        <v>902.11</v>
      </c>
      <c r="L295" s="3">
        <f t="shared" si="4"/>
        <v>0.17124335611237662</v>
      </c>
    </row>
    <row r="296" spans="1:12" x14ac:dyDescent="0.3">
      <c r="A296" s="5" t="s">
        <v>240</v>
      </c>
      <c r="B296" t="s">
        <v>22</v>
      </c>
      <c r="C296">
        <v>2025</v>
      </c>
      <c r="D296" t="s">
        <v>13</v>
      </c>
      <c r="E296" t="s">
        <v>26</v>
      </c>
      <c r="F296" t="s">
        <v>35</v>
      </c>
      <c r="G296" t="s">
        <v>20</v>
      </c>
      <c r="H296">
        <v>10</v>
      </c>
      <c r="I296">
        <v>9680</v>
      </c>
      <c r="J296">
        <v>14241</v>
      </c>
      <c r="K296">
        <v>2374.4699999999998</v>
      </c>
      <c r="L296" s="3">
        <f t="shared" si="4"/>
        <v>0.24529648760330577</v>
      </c>
    </row>
    <row r="297" spans="1:12" x14ac:dyDescent="0.3">
      <c r="A297" s="5" t="s">
        <v>241</v>
      </c>
      <c r="B297" t="s">
        <v>22</v>
      </c>
      <c r="C297">
        <v>2025</v>
      </c>
      <c r="D297" t="s">
        <v>18</v>
      </c>
      <c r="E297" t="s">
        <v>49</v>
      </c>
      <c r="F297" t="s">
        <v>42</v>
      </c>
      <c r="G297" t="s">
        <v>20</v>
      </c>
      <c r="H297">
        <v>19</v>
      </c>
      <c r="I297">
        <v>20710</v>
      </c>
      <c r="J297">
        <v>18184</v>
      </c>
      <c r="K297">
        <v>4799.04</v>
      </c>
      <c r="L297" s="3">
        <f t="shared" si="4"/>
        <v>0.23172573635924673</v>
      </c>
    </row>
    <row r="298" spans="1:12" x14ac:dyDescent="0.3">
      <c r="A298" s="5" t="s">
        <v>137</v>
      </c>
      <c r="B298" t="s">
        <v>57</v>
      </c>
      <c r="C298">
        <v>2025</v>
      </c>
      <c r="D298" t="s">
        <v>32</v>
      </c>
      <c r="E298" t="s">
        <v>60</v>
      </c>
      <c r="F298" t="s">
        <v>15</v>
      </c>
      <c r="G298" t="s">
        <v>16</v>
      </c>
      <c r="H298">
        <v>15</v>
      </c>
      <c r="I298">
        <v>18480</v>
      </c>
      <c r="J298">
        <v>13337</v>
      </c>
      <c r="K298">
        <v>3990.83</v>
      </c>
      <c r="L298" s="3">
        <f t="shared" si="4"/>
        <v>0.21595400432900433</v>
      </c>
    </row>
    <row r="299" spans="1:12" x14ac:dyDescent="0.3">
      <c r="A299" s="5" t="s">
        <v>88</v>
      </c>
      <c r="B299" t="s">
        <v>22</v>
      </c>
      <c r="C299">
        <v>2025</v>
      </c>
      <c r="D299" t="s">
        <v>32</v>
      </c>
      <c r="E299" t="s">
        <v>26</v>
      </c>
      <c r="F299" t="s">
        <v>15</v>
      </c>
      <c r="G299" t="s">
        <v>16</v>
      </c>
      <c r="H299">
        <v>10</v>
      </c>
      <c r="I299">
        <v>12490</v>
      </c>
      <c r="J299">
        <v>11922</v>
      </c>
      <c r="K299">
        <v>3559.11</v>
      </c>
      <c r="L299" s="3">
        <f t="shared" si="4"/>
        <v>0.28495676541232989</v>
      </c>
    </row>
    <row r="300" spans="1:12" x14ac:dyDescent="0.3">
      <c r="A300" s="5" t="s">
        <v>242</v>
      </c>
      <c r="B300" t="s">
        <v>22</v>
      </c>
      <c r="C300">
        <v>2025</v>
      </c>
      <c r="D300" t="s">
        <v>23</v>
      </c>
      <c r="E300" t="s">
        <v>60</v>
      </c>
      <c r="F300" t="s">
        <v>35</v>
      </c>
      <c r="G300" t="s">
        <v>20</v>
      </c>
      <c r="H300">
        <v>17</v>
      </c>
      <c r="I300">
        <v>20468</v>
      </c>
      <c r="J300">
        <v>14652</v>
      </c>
      <c r="K300">
        <v>2397.02</v>
      </c>
      <c r="L300" s="3">
        <f t="shared" si="4"/>
        <v>0.11711061168653508</v>
      </c>
    </row>
    <row r="301" spans="1:12" x14ac:dyDescent="0.3">
      <c r="A301" s="5" t="s">
        <v>75</v>
      </c>
      <c r="B301" t="s">
        <v>31</v>
      </c>
      <c r="C301">
        <v>2025</v>
      </c>
      <c r="D301" t="s">
        <v>32</v>
      </c>
      <c r="E301" t="s">
        <v>49</v>
      </c>
      <c r="F301" t="s">
        <v>19</v>
      </c>
      <c r="G301" t="s">
        <v>20</v>
      </c>
      <c r="H301">
        <v>13</v>
      </c>
      <c r="I301">
        <v>7033</v>
      </c>
      <c r="J301">
        <v>11227</v>
      </c>
      <c r="K301">
        <v>1317.59</v>
      </c>
      <c r="L301" s="3">
        <f t="shared" si="4"/>
        <v>0.1873439499502346</v>
      </c>
    </row>
    <row r="302" spans="1:12" x14ac:dyDescent="0.3">
      <c r="A302" s="5" t="s">
        <v>242</v>
      </c>
      <c r="B302" t="s">
        <v>22</v>
      </c>
      <c r="C302">
        <v>2025</v>
      </c>
      <c r="D302" t="s">
        <v>13</v>
      </c>
      <c r="E302" t="s">
        <v>14</v>
      </c>
      <c r="F302" t="s">
        <v>15</v>
      </c>
      <c r="G302" t="s">
        <v>16</v>
      </c>
      <c r="H302">
        <v>17</v>
      </c>
      <c r="I302">
        <v>14569</v>
      </c>
      <c r="J302">
        <v>12253</v>
      </c>
      <c r="K302">
        <v>3572.32</v>
      </c>
      <c r="L302" s="3">
        <f t="shared" si="4"/>
        <v>0.24520008236666896</v>
      </c>
    </row>
    <row r="303" spans="1:12" x14ac:dyDescent="0.3">
      <c r="A303" s="5" t="s">
        <v>243</v>
      </c>
      <c r="B303" t="s">
        <v>25</v>
      </c>
      <c r="C303">
        <v>2025</v>
      </c>
      <c r="D303" t="s">
        <v>23</v>
      </c>
      <c r="E303" t="s">
        <v>14</v>
      </c>
      <c r="F303" t="s">
        <v>29</v>
      </c>
      <c r="G303" t="s">
        <v>20</v>
      </c>
      <c r="H303">
        <v>14</v>
      </c>
      <c r="I303">
        <v>13692</v>
      </c>
      <c r="J303">
        <v>16863</v>
      </c>
      <c r="K303">
        <v>3822.44</v>
      </c>
      <c r="L303" s="3">
        <f t="shared" si="4"/>
        <v>0.27917323984808645</v>
      </c>
    </row>
    <row r="304" spans="1:12" x14ac:dyDescent="0.3">
      <c r="A304" s="5" t="s">
        <v>69</v>
      </c>
      <c r="B304" t="s">
        <v>48</v>
      </c>
      <c r="C304">
        <v>2025</v>
      </c>
      <c r="D304" t="s">
        <v>23</v>
      </c>
      <c r="E304" t="s">
        <v>49</v>
      </c>
      <c r="F304" t="s">
        <v>15</v>
      </c>
      <c r="G304" t="s">
        <v>16</v>
      </c>
      <c r="H304">
        <v>12</v>
      </c>
      <c r="I304">
        <v>7296</v>
      </c>
      <c r="J304">
        <v>13455</v>
      </c>
      <c r="K304">
        <v>1052.97</v>
      </c>
      <c r="L304" s="3">
        <f t="shared" si="4"/>
        <v>0.14432154605263159</v>
      </c>
    </row>
    <row r="305" spans="1:12" x14ac:dyDescent="0.3">
      <c r="A305" s="5" t="s">
        <v>244</v>
      </c>
      <c r="B305" t="s">
        <v>25</v>
      </c>
      <c r="C305">
        <v>2025</v>
      </c>
      <c r="D305" t="s">
        <v>23</v>
      </c>
      <c r="E305" t="s">
        <v>28</v>
      </c>
      <c r="F305" t="s">
        <v>15</v>
      </c>
      <c r="G305" t="s">
        <v>16</v>
      </c>
      <c r="H305">
        <v>20</v>
      </c>
      <c r="I305">
        <v>24380</v>
      </c>
      <c r="J305">
        <v>17530</v>
      </c>
      <c r="K305">
        <v>4190.7299999999996</v>
      </c>
      <c r="L305" s="3">
        <f t="shared" si="4"/>
        <v>0.17189212469237078</v>
      </c>
    </row>
    <row r="306" spans="1:12" x14ac:dyDescent="0.3">
      <c r="A306" s="5" t="s">
        <v>245</v>
      </c>
      <c r="B306" t="s">
        <v>85</v>
      </c>
      <c r="C306">
        <v>2025</v>
      </c>
      <c r="D306" t="s">
        <v>13</v>
      </c>
      <c r="E306" t="s">
        <v>26</v>
      </c>
      <c r="F306" t="s">
        <v>29</v>
      </c>
      <c r="G306" t="s">
        <v>20</v>
      </c>
      <c r="H306">
        <v>11</v>
      </c>
      <c r="I306">
        <v>2574</v>
      </c>
      <c r="J306">
        <v>19564</v>
      </c>
      <c r="K306">
        <v>558.59</v>
      </c>
      <c r="L306" s="3">
        <f t="shared" si="4"/>
        <v>0.21701243201243203</v>
      </c>
    </row>
    <row r="307" spans="1:12" x14ac:dyDescent="0.3">
      <c r="A307" s="5" t="s">
        <v>36</v>
      </c>
      <c r="B307" t="s">
        <v>37</v>
      </c>
      <c r="C307">
        <v>2025</v>
      </c>
      <c r="D307" t="s">
        <v>18</v>
      </c>
      <c r="E307" t="s">
        <v>49</v>
      </c>
      <c r="F307" t="s">
        <v>42</v>
      </c>
      <c r="G307" t="s">
        <v>20</v>
      </c>
      <c r="H307">
        <v>2</v>
      </c>
      <c r="I307">
        <v>2762</v>
      </c>
      <c r="J307">
        <v>6575</v>
      </c>
      <c r="K307">
        <v>594.79999999999995</v>
      </c>
      <c r="L307" s="3">
        <f t="shared" si="4"/>
        <v>0.21535119478638665</v>
      </c>
    </row>
    <row r="308" spans="1:12" x14ac:dyDescent="0.3">
      <c r="A308" s="5" t="s">
        <v>246</v>
      </c>
      <c r="B308" t="s">
        <v>45</v>
      </c>
      <c r="C308">
        <v>2025</v>
      </c>
      <c r="D308" t="s">
        <v>32</v>
      </c>
      <c r="E308" t="s">
        <v>14</v>
      </c>
      <c r="F308" t="s">
        <v>35</v>
      </c>
      <c r="G308" t="s">
        <v>20</v>
      </c>
      <c r="H308">
        <v>12</v>
      </c>
      <c r="I308">
        <v>3264</v>
      </c>
      <c r="J308">
        <v>19410</v>
      </c>
      <c r="K308">
        <v>438.59</v>
      </c>
      <c r="L308" s="3">
        <f t="shared" si="4"/>
        <v>0.1343719362745098</v>
      </c>
    </row>
    <row r="309" spans="1:12" x14ac:dyDescent="0.3">
      <c r="A309" s="5" t="s">
        <v>180</v>
      </c>
      <c r="B309" t="s">
        <v>57</v>
      </c>
      <c r="C309">
        <v>2025</v>
      </c>
      <c r="D309" t="s">
        <v>32</v>
      </c>
      <c r="E309" t="s">
        <v>14</v>
      </c>
      <c r="F309" t="s">
        <v>42</v>
      </c>
      <c r="G309" t="s">
        <v>20</v>
      </c>
      <c r="H309">
        <v>13</v>
      </c>
      <c r="I309">
        <v>4576</v>
      </c>
      <c r="J309">
        <v>9413</v>
      </c>
      <c r="K309">
        <v>802.51</v>
      </c>
      <c r="L309" s="3">
        <f t="shared" si="4"/>
        <v>0.17537368881118881</v>
      </c>
    </row>
    <row r="310" spans="1:12" x14ac:dyDescent="0.3">
      <c r="A310" s="5" t="s">
        <v>27</v>
      </c>
      <c r="B310" t="s">
        <v>22</v>
      </c>
      <c r="C310">
        <v>2025</v>
      </c>
      <c r="D310" t="s">
        <v>32</v>
      </c>
      <c r="E310" t="s">
        <v>26</v>
      </c>
      <c r="F310" t="s">
        <v>62</v>
      </c>
      <c r="G310" t="s">
        <v>63</v>
      </c>
      <c r="H310">
        <v>20</v>
      </c>
      <c r="I310">
        <v>17320</v>
      </c>
      <c r="J310">
        <v>16611</v>
      </c>
      <c r="K310">
        <v>4702.87</v>
      </c>
      <c r="L310" s="3">
        <f t="shared" si="4"/>
        <v>0.27152829099307157</v>
      </c>
    </row>
    <row r="311" spans="1:12" x14ac:dyDescent="0.3">
      <c r="A311" s="5" t="s">
        <v>59</v>
      </c>
      <c r="B311" t="s">
        <v>57</v>
      </c>
      <c r="C311">
        <v>2025</v>
      </c>
      <c r="D311" t="s">
        <v>23</v>
      </c>
      <c r="E311" t="s">
        <v>28</v>
      </c>
      <c r="F311" t="s">
        <v>19</v>
      </c>
      <c r="G311" t="s">
        <v>20</v>
      </c>
      <c r="H311">
        <v>10</v>
      </c>
      <c r="I311">
        <v>9940</v>
      </c>
      <c r="J311">
        <v>19105</v>
      </c>
      <c r="K311">
        <v>2244.73</v>
      </c>
      <c r="L311" s="3">
        <f t="shared" si="4"/>
        <v>0.22582796780684106</v>
      </c>
    </row>
    <row r="312" spans="1:12" x14ac:dyDescent="0.3">
      <c r="A312" s="5" t="s">
        <v>247</v>
      </c>
      <c r="B312" t="s">
        <v>31</v>
      </c>
      <c r="C312">
        <v>2025</v>
      </c>
      <c r="D312" t="s">
        <v>13</v>
      </c>
      <c r="E312" t="s">
        <v>26</v>
      </c>
      <c r="F312" t="s">
        <v>62</v>
      </c>
      <c r="G312" t="s">
        <v>63</v>
      </c>
      <c r="H312">
        <v>12</v>
      </c>
      <c r="I312">
        <v>10080</v>
      </c>
      <c r="J312">
        <v>12264</v>
      </c>
      <c r="K312">
        <v>1296.3</v>
      </c>
      <c r="L312" s="3">
        <f t="shared" si="4"/>
        <v>0.12860119047619048</v>
      </c>
    </row>
    <row r="313" spans="1:12" x14ac:dyDescent="0.3">
      <c r="A313" s="5" t="s">
        <v>83</v>
      </c>
      <c r="B313" t="s">
        <v>48</v>
      </c>
      <c r="C313">
        <v>2025</v>
      </c>
      <c r="D313" t="s">
        <v>13</v>
      </c>
      <c r="E313" t="s">
        <v>28</v>
      </c>
      <c r="F313" t="s">
        <v>35</v>
      </c>
      <c r="G313" t="s">
        <v>20</v>
      </c>
      <c r="H313">
        <v>6</v>
      </c>
      <c r="I313">
        <v>4386</v>
      </c>
      <c r="J313">
        <v>10586</v>
      </c>
      <c r="K313">
        <v>825.25</v>
      </c>
      <c r="L313" s="3">
        <f t="shared" si="4"/>
        <v>0.18815549475604196</v>
      </c>
    </row>
    <row r="314" spans="1:12" x14ac:dyDescent="0.3">
      <c r="A314" s="5" t="s">
        <v>248</v>
      </c>
      <c r="B314" t="s">
        <v>41</v>
      </c>
      <c r="C314">
        <v>2025</v>
      </c>
      <c r="D314" t="s">
        <v>23</v>
      </c>
      <c r="E314" t="s">
        <v>26</v>
      </c>
      <c r="F314" t="s">
        <v>62</v>
      </c>
      <c r="G314" t="s">
        <v>63</v>
      </c>
      <c r="H314">
        <v>17</v>
      </c>
      <c r="I314">
        <v>5372</v>
      </c>
      <c r="J314">
        <v>17761</v>
      </c>
      <c r="K314">
        <v>968.14</v>
      </c>
      <c r="L314" s="3">
        <f t="shared" si="4"/>
        <v>0.18021965748324645</v>
      </c>
    </row>
    <row r="315" spans="1:12" x14ac:dyDescent="0.3">
      <c r="A315" s="5" t="s">
        <v>94</v>
      </c>
      <c r="B315" t="s">
        <v>22</v>
      </c>
      <c r="C315">
        <v>2025</v>
      </c>
      <c r="D315" t="s">
        <v>18</v>
      </c>
      <c r="E315" t="s">
        <v>60</v>
      </c>
      <c r="F315" t="s">
        <v>35</v>
      </c>
      <c r="G315" t="s">
        <v>20</v>
      </c>
      <c r="H315">
        <v>2</v>
      </c>
      <c r="I315">
        <v>2760</v>
      </c>
      <c r="J315">
        <v>11032</v>
      </c>
      <c r="K315">
        <v>776.24</v>
      </c>
      <c r="L315" s="3">
        <f t="shared" si="4"/>
        <v>0.2812463768115942</v>
      </c>
    </row>
    <row r="316" spans="1:12" x14ac:dyDescent="0.3">
      <c r="A316" s="5" t="s">
        <v>249</v>
      </c>
      <c r="B316" t="s">
        <v>39</v>
      </c>
      <c r="C316">
        <v>2025</v>
      </c>
      <c r="D316" t="s">
        <v>23</v>
      </c>
      <c r="E316" t="s">
        <v>26</v>
      </c>
      <c r="F316" t="s">
        <v>15</v>
      </c>
      <c r="G316" t="s">
        <v>16</v>
      </c>
      <c r="H316">
        <v>17</v>
      </c>
      <c r="I316">
        <v>7939</v>
      </c>
      <c r="J316">
        <v>10213</v>
      </c>
      <c r="K316">
        <v>842.76</v>
      </c>
      <c r="L316" s="3">
        <f t="shared" si="4"/>
        <v>0.10615442750976194</v>
      </c>
    </row>
    <row r="317" spans="1:12" x14ac:dyDescent="0.3">
      <c r="A317" s="5" t="s">
        <v>250</v>
      </c>
      <c r="B317" t="s">
        <v>57</v>
      </c>
      <c r="C317">
        <v>2025</v>
      </c>
      <c r="D317" t="s">
        <v>13</v>
      </c>
      <c r="E317" t="s">
        <v>26</v>
      </c>
      <c r="F317" t="s">
        <v>29</v>
      </c>
      <c r="G317" t="s">
        <v>20</v>
      </c>
      <c r="H317">
        <v>17</v>
      </c>
      <c r="I317">
        <v>10812</v>
      </c>
      <c r="J317">
        <v>15265</v>
      </c>
      <c r="K317">
        <v>1254.81</v>
      </c>
      <c r="L317" s="3">
        <f t="shared" si="4"/>
        <v>0.11605715871254162</v>
      </c>
    </row>
    <row r="318" spans="1:12" x14ac:dyDescent="0.3">
      <c r="A318" s="5" t="s">
        <v>251</v>
      </c>
      <c r="B318" t="s">
        <v>41</v>
      </c>
      <c r="C318">
        <v>2025</v>
      </c>
      <c r="D318" t="s">
        <v>18</v>
      </c>
      <c r="E318" t="s">
        <v>28</v>
      </c>
      <c r="F318" t="s">
        <v>62</v>
      </c>
      <c r="G318" t="s">
        <v>63</v>
      </c>
      <c r="H318">
        <v>7</v>
      </c>
      <c r="I318">
        <v>6139</v>
      </c>
      <c r="J318">
        <v>8573</v>
      </c>
      <c r="K318">
        <v>1670.81</v>
      </c>
      <c r="L318" s="3">
        <f t="shared" si="4"/>
        <v>0.27216321876527122</v>
      </c>
    </row>
    <row r="319" spans="1:12" x14ac:dyDescent="0.3">
      <c r="A319" s="5" t="s">
        <v>143</v>
      </c>
      <c r="B319" t="s">
        <v>34</v>
      </c>
      <c r="C319">
        <v>2025</v>
      </c>
      <c r="D319" t="s">
        <v>13</v>
      </c>
      <c r="E319" t="s">
        <v>14</v>
      </c>
      <c r="F319" t="s">
        <v>35</v>
      </c>
      <c r="G319" t="s">
        <v>20</v>
      </c>
      <c r="H319">
        <v>1</v>
      </c>
      <c r="I319">
        <v>847</v>
      </c>
      <c r="J319">
        <v>14330</v>
      </c>
      <c r="K319">
        <v>213.98</v>
      </c>
      <c r="L319" s="3">
        <f t="shared" si="4"/>
        <v>0.2526328217237308</v>
      </c>
    </row>
    <row r="320" spans="1:12" x14ac:dyDescent="0.3">
      <c r="A320" s="5" t="s">
        <v>252</v>
      </c>
      <c r="B320" t="s">
        <v>45</v>
      </c>
      <c r="C320">
        <v>2025</v>
      </c>
      <c r="D320" t="s">
        <v>32</v>
      </c>
      <c r="E320" t="s">
        <v>26</v>
      </c>
      <c r="F320" t="s">
        <v>29</v>
      </c>
      <c r="G320" t="s">
        <v>20</v>
      </c>
      <c r="H320">
        <v>19</v>
      </c>
      <c r="I320">
        <v>19817</v>
      </c>
      <c r="J320">
        <v>6785</v>
      </c>
      <c r="K320">
        <v>2662.97</v>
      </c>
      <c r="L320" s="3">
        <f t="shared" si="4"/>
        <v>0.13437805924206489</v>
      </c>
    </row>
    <row r="321" spans="1:12" x14ac:dyDescent="0.3">
      <c r="A321" s="5" t="s">
        <v>40</v>
      </c>
      <c r="B321" t="s">
        <v>41</v>
      </c>
      <c r="C321">
        <v>2025</v>
      </c>
      <c r="D321" t="s">
        <v>18</v>
      </c>
      <c r="E321" t="s">
        <v>28</v>
      </c>
      <c r="F321" t="s">
        <v>19</v>
      </c>
      <c r="G321" t="s">
        <v>20</v>
      </c>
      <c r="H321">
        <v>17</v>
      </c>
      <c r="I321">
        <v>25415</v>
      </c>
      <c r="J321">
        <v>18935</v>
      </c>
      <c r="K321">
        <v>4284.3</v>
      </c>
      <c r="L321" s="3">
        <f t="shared" si="4"/>
        <v>0.16857367696242379</v>
      </c>
    </row>
    <row r="322" spans="1:12" x14ac:dyDescent="0.3">
      <c r="A322" s="5" t="s">
        <v>40</v>
      </c>
      <c r="B322" t="s">
        <v>41</v>
      </c>
      <c r="C322">
        <v>2025</v>
      </c>
      <c r="D322" t="s">
        <v>13</v>
      </c>
      <c r="E322" t="s">
        <v>14</v>
      </c>
      <c r="F322" t="s">
        <v>42</v>
      </c>
      <c r="G322" t="s">
        <v>20</v>
      </c>
      <c r="H322">
        <v>8</v>
      </c>
      <c r="I322">
        <v>5632</v>
      </c>
      <c r="J322">
        <v>5713</v>
      </c>
      <c r="K322">
        <v>971.12</v>
      </c>
      <c r="L322" s="3">
        <f t="shared" si="4"/>
        <v>0.17242897727272727</v>
      </c>
    </row>
    <row r="323" spans="1:12" x14ac:dyDescent="0.3">
      <c r="A323" s="5" t="s">
        <v>253</v>
      </c>
      <c r="B323" t="s">
        <v>85</v>
      </c>
      <c r="C323">
        <v>2025</v>
      </c>
      <c r="D323" t="s">
        <v>18</v>
      </c>
      <c r="E323" t="s">
        <v>14</v>
      </c>
      <c r="F323" t="s">
        <v>62</v>
      </c>
      <c r="G323" t="s">
        <v>63</v>
      </c>
      <c r="H323">
        <v>10</v>
      </c>
      <c r="I323">
        <v>14860</v>
      </c>
      <c r="J323">
        <v>12233</v>
      </c>
      <c r="K323">
        <v>3679.54</v>
      </c>
      <c r="L323" s="3">
        <f t="shared" ref="L323:L386" si="5">K323/I323</f>
        <v>0.24761372812920593</v>
      </c>
    </row>
    <row r="324" spans="1:12" x14ac:dyDescent="0.3">
      <c r="A324" s="5" t="s">
        <v>254</v>
      </c>
      <c r="B324" t="s">
        <v>39</v>
      </c>
      <c r="C324">
        <v>2025</v>
      </c>
      <c r="D324" t="s">
        <v>32</v>
      </c>
      <c r="E324" t="s">
        <v>60</v>
      </c>
      <c r="F324" t="s">
        <v>19</v>
      </c>
      <c r="G324" t="s">
        <v>20</v>
      </c>
      <c r="H324">
        <v>1</v>
      </c>
      <c r="I324">
        <v>875</v>
      </c>
      <c r="J324">
        <v>16410</v>
      </c>
      <c r="K324">
        <v>207.81</v>
      </c>
      <c r="L324" s="3">
        <f t="shared" si="5"/>
        <v>0.23749714285714285</v>
      </c>
    </row>
    <row r="325" spans="1:12" x14ac:dyDescent="0.3">
      <c r="A325" s="5" t="s">
        <v>221</v>
      </c>
      <c r="B325" t="s">
        <v>12</v>
      </c>
      <c r="C325">
        <v>2025</v>
      </c>
      <c r="D325" t="s">
        <v>18</v>
      </c>
      <c r="E325" t="s">
        <v>49</v>
      </c>
      <c r="F325" t="s">
        <v>15</v>
      </c>
      <c r="G325" t="s">
        <v>16</v>
      </c>
      <c r="H325">
        <v>15</v>
      </c>
      <c r="I325">
        <v>13500</v>
      </c>
      <c r="J325">
        <v>17864</v>
      </c>
      <c r="K325">
        <v>2337.75</v>
      </c>
      <c r="L325" s="3">
        <f t="shared" si="5"/>
        <v>0.17316666666666666</v>
      </c>
    </row>
    <row r="326" spans="1:12" x14ac:dyDescent="0.3">
      <c r="A326" s="5" t="s">
        <v>255</v>
      </c>
      <c r="B326" t="s">
        <v>48</v>
      </c>
      <c r="C326">
        <v>2025</v>
      </c>
      <c r="D326" t="s">
        <v>13</v>
      </c>
      <c r="E326" t="s">
        <v>28</v>
      </c>
      <c r="F326" t="s">
        <v>19</v>
      </c>
      <c r="G326" t="s">
        <v>20</v>
      </c>
      <c r="H326">
        <v>2</v>
      </c>
      <c r="I326">
        <v>2980</v>
      </c>
      <c r="J326">
        <v>10624</v>
      </c>
      <c r="K326">
        <v>665.14</v>
      </c>
      <c r="L326" s="3">
        <f t="shared" si="5"/>
        <v>0.22320134228187918</v>
      </c>
    </row>
    <row r="327" spans="1:12" x14ac:dyDescent="0.3">
      <c r="A327" s="5" t="s">
        <v>174</v>
      </c>
      <c r="B327" t="s">
        <v>48</v>
      </c>
      <c r="C327">
        <v>2025</v>
      </c>
      <c r="D327" t="s">
        <v>18</v>
      </c>
      <c r="E327" t="s">
        <v>14</v>
      </c>
      <c r="F327" t="s">
        <v>62</v>
      </c>
      <c r="G327" t="s">
        <v>63</v>
      </c>
      <c r="H327">
        <v>20</v>
      </c>
      <c r="I327">
        <v>19740</v>
      </c>
      <c r="J327">
        <v>13601</v>
      </c>
      <c r="K327">
        <v>3390.11</v>
      </c>
      <c r="L327" s="3">
        <f t="shared" si="5"/>
        <v>0.17173809523809525</v>
      </c>
    </row>
    <row r="328" spans="1:12" x14ac:dyDescent="0.3">
      <c r="A328" s="5" t="s">
        <v>256</v>
      </c>
      <c r="B328" t="s">
        <v>22</v>
      </c>
      <c r="C328">
        <v>2025</v>
      </c>
      <c r="D328" t="s">
        <v>32</v>
      </c>
      <c r="E328" t="s">
        <v>49</v>
      </c>
      <c r="F328" t="s">
        <v>19</v>
      </c>
      <c r="G328" t="s">
        <v>20</v>
      </c>
      <c r="H328">
        <v>15</v>
      </c>
      <c r="I328">
        <v>16950</v>
      </c>
      <c r="J328">
        <v>6802</v>
      </c>
      <c r="K328">
        <v>4973.3100000000004</v>
      </c>
      <c r="L328" s="3">
        <f t="shared" si="5"/>
        <v>0.29341061946902658</v>
      </c>
    </row>
    <row r="329" spans="1:12" x14ac:dyDescent="0.3">
      <c r="A329" s="5" t="s">
        <v>257</v>
      </c>
      <c r="B329" t="s">
        <v>85</v>
      </c>
      <c r="C329">
        <v>2025</v>
      </c>
      <c r="D329" t="s">
        <v>32</v>
      </c>
      <c r="E329" t="s">
        <v>28</v>
      </c>
      <c r="F329" t="s">
        <v>62</v>
      </c>
      <c r="G329" t="s">
        <v>63</v>
      </c>
      <c r="H329">
        <v>17</v>
      </c>
      <c r="I329">
        <v>22355</v>
      </c>
      <c r="J329">
        <v>5541</v>
      </c>
      <c r="K329">
        <v>4852.8500000000004</v>
      </c>
      <c r="L329" s="3">
        <f t="shared" si="5"/>
        <v>0.21708118989040484</v>
      </c>
    </row>
    <row r="330" spans="1:12" x14ac:dyDescent="0.3">
      <c r="A330" s="5" t="s">
        <v>258</v>
      </c>
      <c r="B330" t="s">
        <v>41</v>
      </c>
      <c r="C330">
        <v>2025</v>
      </c>
      <c r="D330" t="s">
        <v>18</v>
      </c>
      <c r="E330" t="s">
        <v>49</v>
      </c>
      <c r="F330" t="s">
        <v>15</v>
      </c>
      <c r="G330" t="s">
        <v>16</v>
      </c>
      <c r="H330">
        <v>16</v>
      </c>
      <c r="I330">
        <v>23936</v>
      </c>
      <c r="J330">
        <v>15077</v>
      </c>
      <c r="K330">
        <v>6063.67</v>
      </c>
      <c r="L330" s="3">
        <f t="shared" si="5"/>
        <v>0.25332845922459896</v>
      </c>
    </row>
    <row r="331" spans="1:12" x14ac:dyDescent="0.3">
      <c r="A331" s="5" t="s">
        <v>259</v>
      </c>
      <c r="B331" t="s">
        <v>25</v>
      </c>
      <c r="C331">
        <v>2025</v>
      </c>
      <c r="D331" t="s">
        <v>18</v>
      </c>
      <c r="E331" t="s">
        <v>28</v>
      </c>
      <c r="F331" t="s">
        <v>19</v>
      </c>
      <c r="G331" t="s">
        <v>20</v>
      </c>
      <c r="H331">
        <v>17</v>
      </c>
      <c r="I331">
        <v>8925</v>
      </c>
      <c r="J331">
        <v>17894</v>
      </c>
      <c r="K331">
        <v>1548.46</v>
      </c>
      <c r="L331" s="3">
        <f t="shared" si="5"/>
        <v>0.173496918767507</v>
      </c>
    </row>
    <row r="332" spans="1:12" x14ac:dyDescent="0.3">
      <c r="A332" s="5" t="s">
        <v>183</v>
      </c>
      <c r="B332" t="s">
        <v>31</v>
      </c>
      <c r="C332">
        <v>2025</v>
      </c>
      <c r="D332" t="s">
        <v>32</v>
      </c>
      <c r="E332" t="s">
        <v>49</v>
      </c>
      <c r="F332" t="s">
        <v>62</v>
      </c>
      <c r="G332" t="s">
        <v>63</v>
      </c>
      <c r="H332">
        <v>12</v>
      </c>
      <c r="I332">
        <v>17616</v>
      </c>
      <c r="J332">
        <v>13166</v>
      </c>
      <c r="K332">
        <v>3905.24</v>
      </c>
      <c r="L332" s="3">
        <f t="shared" si="5"/>
        <v>0.2216871026339691</v>
      </c>
    </row>
    <row r="333" spans="1:12" x14ac:dyDescent="0.3">
      <c r="A333" s="5" t="s">
        <v>260</v>
      </c>
      <c r="B333" t="s">
        <v>22</v>
      </c>
      <c r="C333">
        <v>2025</v>
      </c>
      <c r="D333" t="s">
        <v>18</v>
      </c>
      <c r="E333" t="s">
        <v>26</v>
      </c>
      <c r="F333" t="s">
        <v>35</v>
      </c>
      <c r="G333" t="s">
        <v>20</v>
      </c>
      <c r="H333">
        <v>10</v>
      </c>
      <c r="I333">
        <v>1600</v>
      </c>
      <c r="J333">
        <v>7134</v>
      </c>
      <c r="K333">
        <v>224.75</v>
      </c>
      <c r="L333" s="3">
        <f t="shared" si="5"/>
        <v>0.14046875</v>
      </c>
    </row>
    <row r="334" spans="1:12" x14ac:dyDescent="0.3">
      <c r="A334" s="5" t="s">
        <v>214</v>
      </c>
      <c r="B334" t="s">
        <v>85</v>
      </c>
      <c r="C334">
        <v>2025</v>
      </c>
      <c r="D334" t="s">
        <v>23</v>
      </c>
      <c r="E334" t="s">
        <v>26</v>
      </c>
      <c r="F334" t="s">
        <v>35</v>
      </c>
      <c r="G334" t="s">
        <v>20</v>
      </c>
      <c r="H334">
        <v>11</v>
      </c>
      <c r="I334">
        <v>4939</v>
      </c>
      <c r="J334">
        <v>11075</v>
      </c>
      <c r="K334">
        <v>1404.84</v>
      </c>
      <c r="L334" s="3">
        <f t="shared" si="5"/>
        <v>0.28443814537355738</v>
      </c>
    </row>
    <row r="335" spans="1:12" x14ac:dyDescent="0.3">
      <c r="A335" s="5" t="s">
        <v>76</v>
      </c>
      <c r="B335" t="s">
        <v>34</v>
      </c>
      <c r="C335">
        <v>2025</v>
      </c>
      <c r="D335" t="s">
        <v>23</v>
      </c>
      <c r="E335" t="s">
        <v>26</v>
      </c>
      <c r="F335" t="s">
        <v>19</v>
      </c>
      <c r="G335" t="s">
        <v>20</v>
      </c>
      <c r="H335">
        <v>6</v>
      </c>
      <c r="I335">
        <v>8658</v>
      </c>
      <c r="J335">
        <v>16178</v>
      </c>
      <c r="K335">
        <v>1468.92</v>
      </c>
      <c r="L335" s="3">
        <f t="shared" si="5"/>
        <v>0.16966042966042966</v>
      </c>
    </row>
    <row r="336" spans="1:12" x14ac:dyDescent="0.3">
      <c r="A336" s="5" t="s">
        <v>253</v>
      </c>
      <c r="B336" t="s">
        <v>85</v>
      </c>
      <c r="C336">
        <v>2025</v>
      </c>
      <c r="D336" t="s">
        <v>18</v>
      </c>
      <c r="E336" t="s">
        <v>49</v>
      </c>
      <c r="F336" t="s">
        <v>35</v>
      </c>
      <c r="G336" t="s">
        <v>20</v>
      </c>
      <c r="H336">
        <v>9</v>
      </c>
      <c r="I336">
        <v>7335</v>
      </c>
      <c r="J336">
        <v>19223</v>
      </c>
      <c r="K336">
        <v>1869.63</v>
      </c>
      <c r="L336" s="3">
        <f t="shared" si="5"/>
        <v>0.2548916155419223</v>
      </c>
    </row>
    <row r="337" spans="1:12" x14ac:dyDescent="0.3">
      <c r="A337" s="5" t="s">
        <v>261</v>
      </c>
      <c r="B337" t="s">
        <v>37</v>
      </c>
      <c r="C337">
        <v>2025</v>
      </c>
      <c r="D337" t="s">
        <v>32</v>
      </c>
      <c r="E337" t="s">
        <v>26</v>
      </c>
      <c r="F337" t="s">
        <v>15</v>
      </c>
      <c r="G337" t="s">
        <v>16</v>
      </c>
      <c r="H337">
        <v>3</v>
      </c>
      <c r="I337">
        <v>2319</v>
      </c>
      <c r="J337">
        <v>5891</v>
      </c>
      <c r="K337">
        <v>559.54999999999995</v>
      </c>
      <c r="L337" s="3">
        <f t="shared" si="5"/>
        <v>0.24128934885726605</v>
      </c>
    </row>
    <row r="338" spans="1:12" x14ac:dyDescent="0.3">
      <c r="A338" s="5" t="s">
        <v>234</v>
      </c>
      <c r="B338" t="s">
        <v>85</v>
      </c>
      <c r="C338">
        <v>2025</v>
      </c>
      <c r="D338" t="s">
        <v>32</v>
      </c>
      <c r="E338" t="s">
        <v>49</v>
      </c>
      <c r="F338" t="s">
        <v>15</v>
      </c>
      <c r="G338" t="s">
        <v>16</v>
      </c>
      <c r="H338">
        <v>11</v>
      </c>
      <c r="I338">
        <v>1100</v>
      </c>
      <c r="J338">
        <v>7632</v>
      </c>
      <c r="K338">
        <v>263.11</v>
      </c>
      <c r="L338" s="3">
        <f t="shared" si="5"/>
        <v>0.23919090909090909</v>
      </c>
    </row>
    <row r="339" spans="1:12" x14ac:dyDescent="0.3">
      <c r="A339" s="5" t="s">
        <v>251</v>
      </c>
      <c r="B339" t="s">
        <v>41</v>
      </c>
      <c r="C339">
        <v>2025</v>
      </c>
      <c r="D339" t="s">
        <v>32</v>
      </c>
      <c r="E339" t="s">
        <v>49</v>
      </c>
      <c r="F339" t="s">
        <v>29</v>
      </c>
      <c r="G339" t="s">
        <v>20</v>
      </c>
      <c r="H339">
        <v>3</v>
      </c>
      <c r="I339">
        <v>1881</v>
      </c>
      <c r="J339">
        <v>18681</v>
      </c>
      <c r="K339">
        <v>317.67</v>
      </c>
      <c r="L339" s="3">
        <f t="shared" si="5"/>
        <v>0.16888357256778311</v>
      </c>
    </row>
    <row r="340" spans="1:12" x14ac:dyDescent="0.3">
      <c r="A340" s="5" t="s">
        <v>187</v>
      </c>
      <c r="B340" t="s">
        <v>12</v>
      </c>
      <c r="C340">
        <v>2025</v>
      </c>
      <c r="D340" t="s">
        <v>23</v>
      </c>
      <c r="E340" t="s">
        <v>28</v>
      </c>
      <c r="F340" t="s">
        <v>15</v>
      </c>
      <c r="G340" t="s">
        <v>16</v>
      </c>
      <c r="H340">
        <v>1</v>
      </c>
      <c r="I340">
        <v>524</v>
      </c>
      <c r="J340">
        <v>11482</v>
      </c>
      <c r="K340">
        <v>109.5</v>
      </c>
      <c r="L340" s="3">
        <f t="shared" si="5"/>
        <v>0.20896946564885496</v>
      </c>
    </row>
    <row r="341" spans="1:12" x14ac:dyDescent="0.3">
      <c r="A341" s="5" t="s">
        <v>262</v>
      </c>
      <c r="B341" t="s">
        <v>31</v>
      </c>
      <c r="C341">
        <v>2025</v>
      </c>
      <c r="D341" t="s">
        <v>32</v>
      </c>
      <c r="E341" t="s">
        <v>26</v>
      </c>
      <c r="F341" t="s">
        <v>42</v>
      </c>
      <c r="G341" t="s">
        <v>20</v>
      </c>
      <c r="H341">
        <v>2</v>
      </c>
      <c r="I341">
        <v>384</v>
      </c>
      <c r="J341">
        <v>18549</v>
      </c>
      <c r="K341">
        <v>47.34</v>
      </c>
      <c r="L341" s="3">
        <f t="shared" si="5"/>
        <v>0.12328125000000001</v>
      </c>
    </row>
    <row r="342" spans="1:12" x14ac:dyDescent="0.3">
      <c r="A342" s="5" t="s">
        <v>210</v>
      </c>
      <c r="B342" t="s">
        <v>31</v>
      </c>
      <c r="C342">
        <v>2025</v>
      </c>
      <c r="D342" t="s">
        <v>32</v>
      </c>
      <c r="E342" t="s">
        <v>28</v>
      </c>
      <c r="F342" t="s">
        <v>62</v>
      </c>
      <c r="G342" t="s">
        <v>63</v>
      </c>
      <c r="H342">
        <v>5</v>
      </c>
      <c r="I342">
        <v>4175</v>
      </c>
      <c r="J342">
        <v>11764</v>
      </c>
      <c r="K342">
        <v>895.21</v>
      </c>
      <c r="L342" s="3">
        <f t="shared" si="5"/>
        <v>0.21442155688622755</v>
      </c>
    </row>
    <row r="343" spans="1:12" x14ac:dyDescent="0.3">
      <c r="A343" s="5" t="s">
        <v>263</v>
      </c>
      <c r="B343" t="s">
        <v>45</v>
      </c>
      <c r="C343">
        <v>2025</v>
      </c>
      <c r="D343" t="s">
        <v>32</v>
      </c>
      <c r="E343" t="s">
        <v>28</v>
      </c>
      <c r="F343" t="s">
        <v>42</v>
      </c>
      <c r="G343" t="s">
        <v>20</v>
      </c>
      <c r="H343">
        <v>3</v>
      </c>
      <c r="I343">
        <v>2130</v>
      </c>
      <c r="J343">
        <v>8557</v>
      </c>
      <c r="K343">
        <v>505.74</v>
      </c>
      <c r="L343" s="3">
        <f t="shared" si="5"/>
        <v>0.23743661971830987</v>
      </c>
    </row>
    <row r="344" spans="1:12" x14ac:dyDescent="0.3">
      <c r="A344" s="5" t="s">
        <v>264</v>
      </c>
      <c r="B344" t="s">
        <v>85</v>
      </c>
      <c r="C344">
        <v>2025</v>
      </c>
      <c r="D344" t="s">
        <v>18</v>
      </c>
      <c r="E344" t="s">
        <v>28</v>
      </c>
      <c r="F344" t="s">
        <v>35</v>
      </c>
      <c r="G344" t="s">
        <v>20</v>
      </c>
      <c r="H344">
        <v>13</v>
      </c>
      <c r="I344">
        <v>4147</v>
      </c>
      <c r="J344">
        <v>12406</v>
      </c>
      <c r="K344">
        <v>906.4</v>
      </c>
      <c r="L344" s="3">
        <f t="shared" si="5"/>
        <v>0.21856763925729442</v>
      </c>
    </row>
    <row r="345" spans="1:12" x14ac:dyDescent="0.3">
      <c r="A345" s="5" t="s">
        <v>265</v>
      </c>
      <c r="B345" t="s">
        <v>37</v>
      </c>
      <c r="C345">
        <v>2025</v>
      </c>
      <c r="D345" t="s">
        <v>13</v>
      </c>
      <c r="E345" t="s">
        <v>28</v>
      </c>
      <c r="F345" t="s">
        <v>15</v>
      </c>
      <c r="G345" t="s">
        <v>16</v>
      </c>
      <c r="H345">
        <v>20</v>
      </c>
      <c r="I345">
        <v>15580</v>
      </c>
      <c r="J345">
        <v>14058</v>
      </c>
      <c r="K345">
        <v>3708.27</v>
      </c>
      <c r="L345" s="3">
        <f t="shared" si="5"/>
        <v>0.23801476251604622</v>
      </c>
    </row>
    <row r="346" spans="1:12" x14ac:dyDescent="0.3">
      <c r="A346" s="5" t="s">
        <v>266</v>
      </c>
      <c r="B346" t="s">
        <v>85</v>
      </c>
      <c r="C346">
        <v>2025</v>
      </c>
      <c r="D346" t="s">
        <v>23</v>
      </c>
      <c r="E346" t="s">
        <v>14</v>
      </c>
      <c r="F346" t="s">
        <v>19</v>
      </c>
      <c r="G346" t="s">
        <v>20</v>
      </c>
      <c r="H346">
        <v>5</v>
      </c>
      <c r="I346">
        <v>7210</v>
      </c>
      <c r="J346">
        <v>12437</v>
      </c>
      <c r="K346">
        <v>2158.5100000000002</v>
      </c>
      <c r="L346" s="3">
        <f t="shared" si="5"/>
        <v>0.29937725381414704</v>
      </c>
    </row>
    <row r="347" spans="1:12" x14ac:dyDescent="0.3">
      <c r="A347" s="5" t="s">
        <v>131</v>
      </c>
      <c r="B347" t="s">
        <v>22</v>
      </c>
      <c r="C347">
        <v>2025</v>
      </c>
      <c r="D347" t="s">
        <v>32</v>
      </c>
      <c r="E347" t="s">
        <v>14</v>
      </c>
      <c r="F347" t="s">
        <v>29</v>
      </c>
      <c r="G347" t="s">
        <v>20</v>
      </c>
      <c r="H347">
        <v>6</v>
      </c>
      <c r="I347">
        <v>8208</v>
      </c>
      <c r="J347">
        <v>9253</v>
      </c>
      <c r="K347">
        <v>1213.6400000000001</v>
      </c>
      <c r="L347" s="3">
        <f t="shared" si="5"/>
        <v>0.14786062378167641</v>
      </c>
    </row>
    <row r="348" spans="1:12" x14ac:dyDescent="0.3">
      <c r="A348" s="5" t="s">
        <v>232</v>
      </c>
      <c r="B348" t="s">
        <v>37</v>
      </c>
      <c r="C348">
        <v>2025</v>
      </c>
      <c r="D348" t="s">
        <v>23</v>
      </c>
      <c r="E348" t="s">
        <v>28</v>
      </c>
      <c r="F348" t="s">
        <v>15</v>
      </c>
      <c r="G348" t="s">
        <v>16</v>
      </c>
      <c r="H348">
        <v>3</v>
      </c>
      <c r="I348">
        <v>3585</v>
      </c>
      <c r="J348">
        <v>6659</v>
      </c>
      <c r="K348">
        <v>528.73</v>
      </c>
      <c r="L348" s="3">
        <f t="shared" si="5"/>
        <v>0.14748396094839611</v>
      </c>
    </row>
    <row r="349" spans="1:12" x14ac:dyDescent="0.3">
      <c r="A349" s="5" t="s">
        <v>77</v>
      </c>
      <c r="B349" t="s">
        <v>31</v>
      </c>
      <c r="C349">
        <v>2025</v>
      </c>
      <c r="D349" t="s">
        <v>13</v>
      </c>
      <c r="E349" t="s">
        <v>14</v>
      </c>
      <c r="F349" t="s">
        <v>62</v>
      </c>
      <c r="G349" t="s">
        <v>63</v>
      </c>
      <c r="H349">
        <v>19</v>
      </c>
      <c r="I349">
        <v>15618</v>
      </c>
      <c r="J349">
        <v>7946</v>
      </c>
      <c r="K349">
        <v>2950.85</v>
      </c>
      <c r="L349" s="3">
        <f t="shared" si="5"/>
        <v>0.18893904469202202</v>
      </c>
    </row>
    <row r="350" spans="1:12" x14ac:dyDescent="0.3">
      <c r="A350" s="5" t="s">
        <v>198</v>
      </c>
      <c r="B350" t="s">
        <v>37</v>
      </c>
      <c r="C350">
        <v>2025</v>
      </c>
      <c r="D350" t="s">
        <v>13</v>
      </c>
      <c r="E350" t="s">
        <v>28</v>
      </c>
      <c r="F350" t="s">
        <v>62</v>
      </c>
      <c r="G350" t="s">
        <v>63</v>
      </c>
      <c r="H350">
        <v>9</v>
      </c>
      <c r="I350">
        <v>3690</v>
      </c>
      <c r="J350">
        <v>9595</v>
      </c>
      <c r="K350">
        <v>804.2</v>
      </c>
      <c r="L350" s="3">
        <f t="shared" si="5"/>
        <v>0.21794037940379404</v>
      </c>
    </row>
    <row r="351" spans="1:12" x14ac:dyDescent="0.3">
      <c r="A351" s="5" t="s">
        <v>267</v>
      </c>
      <c r="B351" t="s">
        <v>45</v>
      </c>
      <c r="C351">
        <v>2025</v>
      </c>
      <c r="D351" t="s">
        <v>32</v>
      </c>
      <c r="E351" t="s">
        <v>49</v>
      </c>
      <c r="F351" t="s">
        <v>15</v>
      </c>
      <c r="G351" t="s">
        <v>16</v>
      </c>
      <c r="H351">
        <v>2</v>
      </c>
      <c r="I351">
        <v>1454</v>
      </c>
      <c r="J351">
        <v>16414</v>
      </c>
      <c r="K351">
        <v>409.77</v>
      </c>
      <c r="L351" s="3">
        <f t="shared" si="5"/>
        <v>0.28182255845942228</v>
      </c>
    </row>
    <row r="352" spans="1:12" x14ac:dyDescent="0.3">
      <c r="A352" s="5" t="s">
        <v>186</v>
      </c>
      <c r="B352" t="s">
        <v>45</v>
      </c>
      <c r="C352">
        <v>2025</v>
      </c>
      <c r="D352" t="s">
        <v>32</v>
      </c>
      <c r="E352" t="s">
        <v>60</v>
      </c>
      <c r="F352" t="s">
        <v>19</v>
      </c>
      <c r="G352" t="s">
        <v>20</v>
      </c>
      <c r="H352">
        <v>5</v>
      </c>
      <c r="I352">
        <v>1065</v>
      </c>
      <c r="J352">
        <v>13599</v>
      </c>
      <c r="K352">
        <v>133.04</v>
      </c>
      <c r="L352" s="3">
        <f t="shared" si="5"/>
        <v>0.12492018779342723</v>
      </c>
    </row>
    <row r="353" spans="1:12" x14ac:dyDescent="0.3">
      <c r="A353" s="5" t="s">
        <v>268</v>
      </c>
      <c r="B353" t="s">
        <v>31</v>
      </c>
      <c r="C353">
        <v>2025</v>
      </c>
      <c r="D353" t="s">
        <v>18</v>
      </c>
      <c r="E353" t="s">
        <v>60</v>
      </c>
      <c r="F353" t="s">
        <v>35</v>
      </c>
      <c r="G353" t="s">
        <v>20</v>
      </c>
      <c r="H353">
        <v>13</v>
      </c>
      <c r="I353">
        <v>9256</v>
      </c>
      <c r="J353">
        <v>15120</v>
      </c>
      <c r="K353">
        <v>2383</v>
      </c>
      <c r="L353" s="3">
        <f t="shared" si="5"/>
        <v>0.25745462402765773</v>
      </c>
    </row>
    <row r="354" spans="1:12" x14ac:dyDescent="0.3">
      <c r="A354" s="5" t="s">
        <v>199</v>
      </c>
      <c r="B354" t="s">
        <v>39</v>
      </c>
      <c r="C354">
        <v>2025</v>
      </c>
      <c r="D354" t="s">
        <v>23</v>
      </c>
      <c r="E354" t="s">
        <v>60</v>
      </c>
      <c r="F354" t="s">
        <v>29</v>
      </c>
      <c r="G354" t="s">
        <v>20</v>
      </c>
      <c r="H354">
        <v>2</v>
      </c>
      <c r="I354">
        <v>1840</v>
      </c>
      <c r="J354">
        <v>12055</v>
      </c>
      <c r="K354">
        <v>281.77</v>
      </c>
      <c r="L354" s="3">
        <f t="shared" si="5"/>
        <v>0.15313586956521738</v>
      </c>
    </row>
    <row r="355" spans="1:12" x14ac:dyDescent="0.3">
      <c r="A355" s="5" t="s">
        <v>66</v>
      </c>
      <c r="B355" t="s">
        <v>12</v>
      </c>
      <c r="C355">
        <v>2025</v>
      </c>
      <c r="D355" t="s">
        <v>23</v>
      </c>
      <c r="E355" t="s">
        <v>28</v>
      </c>
      <c r="F355" t="s">
        <v>29</v>
      </c>
      <c r="G355" t="s">
        <v>20</v>
      </c>
      <c r="H355">
        <v>16</v>
      </c>
      <c r="I355">
        <v>22384</v>
      </c>
      <c r="J355">
        <v>9440</v>
      </c>
      <c r="K355">
        <v>4058.74</v>
      </c>
      <c r="L355" s="3">
        <f t="shared" si="5"/>
        <v>0.18132326661901357</v>
      </c>
    </row>
    <row r="356" spans="1:12" x14ac:dyDescent="0.3">
      <c r="A356" s="5" t="s">
        <v>89</v>
      </c>
      <c r="B356" t="s">
        <v>31</v>
      </c>
      <c r="C356">
        <v>2025</v>
      </c>
      <c r="D356" t="s">
        <v>32</v>
      </c>
      <c r="E356" t="s">
        <v>28</v>
      </c>
      <c r="F356" t="s">
        <v>35</v>
      </c>
      <c r="G356" t="s">
        <v>20</v>
      </c>
      <c r="H356">
        <v>10</v>
      </c>
      <c r="I356">
        <v>8300</v>
      </c>
      <c r="J356">
        <v>12693</v>
      </c>
      <c r="K356">
        <v>1879.12</v>
      </c>
      <c r="L356" s="3">
        <f t="shared" si="5"/>
        <v>0.22639999999999999</v>
      </c>
    </row>
    <row r="357" spans="1:12" x14ac:dyDescent="0.3">
      <c r="A357" s="5" t="s">
        <v>73</v>
      </c>
      <c r="B357" t="s">
        <v>48</v>
      </c>
      <c r="C357">
        <v>2025</v>
      </c>
      <c r="D357" t="s">
        <v>32</v>
      </c>
      <c r="E357" t="s">
        <v>28</v>
      </c>
      <c r="F357" t="s">
        <v>62</v>
      </c>
      <c r="G357" t="s">
        <v>63</v>
      </c>
      <c r="H357">
        <v>6</v>
      </c>
      <c r="I357">
        <v>4662</v>
      </c>
      <c r="J357">
        <v>16544</v>
      </c>
      <c r="K357">
        <v>875.86</v>
      </c>
      <c r="L357" s="3">
        <f t="shared" si="5"/>
        <v>0.18787215787215789</v>
      </c>
    </row>
    <row r="358" spans="1:12" x14ac:dyDescent="0.3">
      <c r="A358" s="5" t="s">
        <v>233</v>
      </c>
      <c r="B358" t="s">
        <v>34</v>
      </c>
      <c r="C358">
        <v>2025</v>
      </c>
      <c r="D358" t="s">
        <v>13</v>
      </c>
      <c r="E358" t="s">
        <v>26</v>
      </c>
      <c r="F358" t="s">
        <v>42</v>
      </c>
      <c r="G358" t="s">
        <v>20</v>
      </c>
      <c r="H358">
        <v>9</v>
      </c>
      <c r="I358">
        <v>4446</v>
      </c>
      <c r="J358">
        <v>16708</v>
      </c>
      <c r="K358">
        <v>699.78</v>
      </c>
      <c r="L358" s="3">
        <f t="shared" si="5"/>
        <v>0.15739541160593792</v>
      </c>
    </row>
    <row r="359" spans="1:12" x14ac:dyDescent="0.3">
      <c r="A359" s="5" t="s">
        <v>247</v>
      </c>
      <c r="B359" t="s">
        <v>31</v>
      </c>
      <c r="C359">
        <v>2025</v>
      </c>
      <c r="D359" t="s">
        <v>23</v>
      </c>
      <c r="E359" t="s">
        <v>14</v>
      </c>
      <c r="F359" t="s">
        <v>15</v>
      </c>
      <c r="G359" t="s">
        <v>16</v>
      </c>
      <c r="H359">
        <v>4</v>
      </c>
      <c r="I359">
        <v>2380</v>
      </c>
      <c r="J359">
        <v>5210</v>
      </c>
      <c r="K359">
        <v>675.38</v>
      </c>
      <c r="L359" s="3">
        <f t="shared" si="5"/>
        <v>0.28377310924369747</v>
      </c>
    </row>
    <row r="360" spans="1:12" x14ac:dyDescent="0.3">
      <c r="A360" s="5" t="s">
        <v>128</v>
      </c>
      <c r="B360" t="s">
        <v>48</v>
      </c>
      <c r="C360">
        <v>2025</v>
      </c>
      <c r="D360" t="s">
        <v>23</v>
      </c>
      <c r="E360" t="s">
        <v>14</v>
      </c>
      <c r="F360" t="s">
        <v>29</v>
      </c>
      <c r="G360" t="s">
        <v>20</v>
      </c>
      <c r="H360">
        <v>10</v>
      </c>
      <c r="I360">
        <v>6540</v>
      </c>
      <c r="J360">
        <v>6304</v>
      </c>
      <c r="K360">
        <v>1194.43</v>
      </c>
      <c r="L360" s="3">
        <f t="shared" si="5"/>
        <v>0.18263455657492356</v>
      </c>
    </row>
    <row r="361" spans="1:12" x14ac:dyDescent="0.3">
      <c r="A361" s="5" t="s">
        <v>94</v>
      </c>
      <c r="B361" t="s">
        <v>22</v>
      </c>
      <c r="C361">
        <v>2025</v>
      </c>
      <c r="D361" t="s">
        <v>32</v>
      </c>
      <c r="E361" t="s">
        <v>28</v>
      </c>
      <c r="F361" t="s">
        <v>62</v>
      </c>
      <c r="G361" t="s">
        <v>63</v>
      </c>
      <c r="H361">
        <v>8</v>
      </c>
      <c r="I361">
        <v>5760</v>
      </c>
      <c r="J361">
        <v>15171</v>
      </c>
      <c r="K361">
        <v>755.21</v>
      </c>
      <c r="L361" s="3">
        <f t="shared" si="5"/>
        <v>0.13111284722222222</v>
      </c>
    </row>
    <row r="362" spans="1:12" x14ac:dyDescent="0.3">
      <c r="A362" s="5" t="s">
        <v>17</v>
      </c>
      <c r="B362" t="s">
        <v>12</v>
      </c>
      <c r="C362">
        <v>2025</v>
      </c>
      <c r="D362" t="s">
        <v>13</v>
      </c>
      <c r="E362" t="s">
        <v>60</v>
      </c>
      <c r="F362" t="s">
        <v>35</v>
      </c>
      <c r="G362" t="s">
        <v>20</v>
      </c>
      <c r="H362">
        <v>17</v>
      </c>
      <c r="I362">
        <v>19142</v>
      </c>
      <c r="J362">
        <v>17955</v>
      </c>
      <c r="K362">
        <v>4477.93</v>
      </c>
      <c r="L362" s="3">
        <f t="shared" si="5"/>
        <v>0.23393219099362658</v>
      </c>
    </row>
    <row r="363" spans="1:12" x14ac:dyDescent="0.3">
      <c r="A363" s="5" t="s">
        <v>267</v>
      </c>
      <c r="B363" t="s">
        <v>45</v>
      </c>
      <c r="C363">
        <v>2025</v>
      </c>
      <c r="D363" t="s">
        <v>23</v>
      </c>
      <c r="E363" t="s">
        <v>49</v>
      </c>
      <c r="F363" t="s">
        <v>42</v>
      </c>
      <c r="G363" t="s">
        <v>20</v>
      </c>
      <c r="H363">
        <v>8</v>
      </c>
      <c r="I363">
        <v>4776</v>
      </c>
      <c r="J363">
        <v>10535</v>
      </c>
      <c r="K363">
        <v>1230.8699999999999</v>
      </c>
      <c r="L363" s="3">
        <f t="shared" si="5"/>
        <v>0.25771984924623115</v>
      </c>
    </row>
    <row r="364" spans="1:12" x14ac:dyDescent="0.3">
      <c r="A364" s="5" t="s">
        <v>197</v>
      </c>
      <c r="B364" t="s">
        <v>12</v>
      </c>
      <c r="C364">
        <v>2025</v>
      </c>
      <c r="D364" t="s">
        <v>32</v>
      </c>
      <c r="E364" t="s">
        <v>14</v>
      </c>
      <c r="F364" t="s">
        <v>62</v>
      </c>
      <c r="G364" t="s">
        <v>63</v>
      </c>
      <c r="H364">
        <v>6</v>
      </c>
      <c r="I364">
        <v>8394</v>
      </c>
      <c r="J364">
        <v>15927</v>
      </c>
      <c r="K364">
        <v>1140.8499999999999</v>
      </c>
      <c r="L364" s="3">
        <f t="shared" si="5"/>
        <v>0.13591255658803905</v>
      </c>
    </row>
    <row r="365" spans="1:12" x14ac:dyDescent="0.3">
      <c r="A365" s="5" t="s">
        <v>170</v>
      </c>
      <c r="B365" t="s">
        <v>48</v>
      </c>
      <c r="C365">
        <v>2025</v>
      </c>
      <c r="D365" t="s">
        <v>32</v>
      </c>
      <c r="E365" t="s">
        <v>14</v>
      </c>
      <c r="F365" t="s">
        <v>29</v>
      </c>
      <c r="G365" t="s">
        <v>20</v>
      </c>
      <c r="H365">
        <v>1</v>
      </c>
      <c r="I365">
        <v>877</v>
      </c>
      <c r="J365">
        <v>19603</v>
      </c>
      <c r="K365">
        <v>187.25</v>
      </c>
      <c r="L365" s="3">
        <f t="shared" si="5"/>
        <v>0.21351197263397947</v>
      </c>
    </row>
    <row r="366" spans="1:12" x14ac:dyDescent="0.3">
      <c r="A366" s="5" t="s">
        <v>269</v>
      </c>
      <c r="B366" t="s">
        <v>34</v>
      </c>
      <c r="C366">
        <v>2025</v>
      </c>
      <c r="D366" t="s">
        <v>32</v>
      </c>
      <c r="E366" t="s">
        <v>28</v>
      </c>
      <c r="F366" t="s">
        <v>15</v>
      </c>
      <c r="G366" t="s">
        <v>16</v>
      </c>
      <c r="H366">
        <v>16</v>
      </c>
      <c r="I366">
        <v>17744</v>
      </c>
      <c r="J366">
        <v>8436</v>
      </c>
      <c r="K366">
        <v>3861.18</v>
      </c>
      <c r="L366" s="3">
        <f t="shared" si="5"/>
        <v>0.21760482416591523</v>
      </c>
    </row>
    <row r="367" spans="1:12" x14ac:dyDescent="0.3">
      <c r="A367" s="5" t="s">
        <v>270</v>
      </c>
      <c r="B367" t="s">
        <v>37</v>
      </c>
      <c r="C367">
        <v>2025</v>
      </c>
      <c r="D367" t="s">
        <v>18</v>
      </c>
      <c r="E367" t="s">
        <v>14</v>
      </c>
      <c r="F367" t="s">
        <v>15</v>
      </c>
      <c r="G367" t="s">
        <v>16</v>
      </c>
      <c r="H367">
        <v>18</v>
      </c>
      <c r="I367">
        <v>9666</v>
      </c>
      <c r="J367">
        <v>6612</v>
      </c>
      <c r="K367">
        <v>2832.6</v>
      </c>
      <c r="L367" s="3">
        <f t="shared" si="5"/>
        <v>0.2930477963997517</v>
      </c>
    </row>
    <row r="368" spans="1:12" x14ac:dyDescent="0.3">
      <c r="A368" s="5" t="s">
        <v>271</v>
      </c>
      <c r="B368" t="s">
        <v>22</v>
      </c>
      <c r="C368">
        <v>2025</v>
      </c>
      <c r="D368" t="s">
        <v>23</v>
      </c>
      <c r="E368" t="s">
        <v>14</v>
      </c>
      <c r="F368" t="s">
        <v>35</v>
      </c>
      <c r="G368" t="s">
        <v>20</v>
      </c>
      <c r="H368">
        <v>17</v>
      </c>
      <c r="I368">
        <v>4267</v>
      </c>
      <c r="J368">
        <v>12764</v>
      </c>
      <c r="K368">
        <v>709.81</v>
      </c>
      <c r="L368" s="3">
        <f t="shared" si="5"/>
        <v>0.16634872275603468</v>
      </c>
    </row>
    <row r="369" spans="1:12" x14ac:dyDescent="0.3">
      <c r="A369" s="5" t="s">
        <v>43</v>
      </c>
      <c r="B369" t="s">
        <v>25</v>
      </c>
      <c r="C369">
        <v>2025</v>
      </c>
      <c r="D369" t="s">
        <v>18</v>
      </c>
      <c r="E369" t="s">
        <v>14</v>
      </c>
      <c r="F369" t="s">
        <v>15</v>
      </c>
      <c r="G369" t="s">
        <v>16</v>
      </c>
      <c r="H369">
        <v>13</v>
      </c>
      <c r="I369">
        <v>13416</v>
      </c>
      <c r="J369">
        <v>18430</v>
      </c>
      <c r="K369">
        <v>2721.17</v>
      </c>
      <c r="L369" s="3">
        <f t="shared" si="5"/>
        <v>0.20283020274299346</v>
      </c>
    </row>
    <row r="370" spans="1:12" x14ac:dyDescent="0.3">
      <c r="A370" s="5" t="s">
        <v>272</v>
      </c>
      <c r="B370" t="s">
        <v>57</v>
      </c>
      <c r="C370">
        <v>2025</v>
      </c>
      <c r="D370" t="s">
        <v>13</v>
      </c>
      <c r="E370" t="s">
        <v>26</v>
      </c>
      <c r="F370" t="s">
        <v>42</v>
      </c>
      <c r="G370" t="s">
        <v>20</v>
      </c>
      <c r="H370">
        <v>1</v>
      </c>
      <c r="I370">
        <v>1180</v>
      </c>
      <c r="J370">
        <v>11018</v>
      </c>
      <c r="K370">
        <v>257.12</v>
      </c>
      <c r="L370" s="3">
        <f t="shared" si="5"/>
        <v>0.21789830508474578</v>
      </c>
    </row>
    <row r="371" spans="1:12" x14ac:dyDescent="0.3">
      <c r="A371" s="5" t="s">
        <v>212</v>
      </c>
      <c r="B371" t="s">
        <v>41</v>
      </c>
      <c r="C371">
        <v>2025</v>
      </c>
      <c r="D371" t="s">
        <v>18</v>
      </c>
      <c r="E371" t="s">
        <v>26</v>
      </c>
      <c r="F371" t="s">
        <v>15</v>
      </c>
      <c r="G371" t="s">
        <v>16</v>
      </c>
      <c r="H371">
        <v>20</v>
      </c>
      <c r="I371">
        <v>24260</v>
      </c>
      <c r="J371">
        <v>16588</v>
      </c>
      <c r="K371">
        <v>3292.37</v>
      </c>
      <c r="L371" s="3">
        <f t="shared" si="5"/>
        <v>0.1357118713932399</v>
      </c>
    </row>
    <row r="372" spans="1:12" x14ac:dyDescent="0.3">
      <c r="A372" s="5" t="s">
        <v>137</v>
      </c>
      <c r="B372" t="s">
        <v>57</v>
      </c>
      <c r="C372">
        <v>2025</v>
      </c>
      <c r="D372" t="s">
        <v>23</v>
      </c>
      <c r="E372" t="s">
        <v>60</v>
      </c>
      <c r="F372" t="s">
        <v>15</v>
      </c>
      <c r="G372" t="s">
        <v>16</v>
      </c>
      <c r="H372">
        <v>5</v>
      </c>
      <c r="I372">
        <v>7350</v>
      </c>
      <c r="J372">
        <v>9841</v>
      </c>
      <c r="K372">
        <v>1112.5899999999999</v>
      </c>
      <c r="L372" s="3">
        <f t="shared" si="5"/>
        <v>0.15137278911564625</v>
      </c>
    </row>
    <row r="373" spans="1:12" x14ac:dyDescent="0.3">
      <c r="A373" s="5" t="s">
        <v>273</v>
      </c>
      <c r="B373" t="s">
        <v>48</v>
      </c>
      <c r="C373">
        <v>2025</v>
      </c>
      <c r="D373" t="s">
        <v>23</v>
      </c>
      <c r="E373" t="s">
        <v>28</v>
      </c>
      <c r="F373" t="s">
        <v>35</v>
      </c>
      <c r="G373" t="s">
        <v>20</v>
      </c>
      <c r="H373">
        <v>10</v>
      </c>
      <c r="I373">
        <v>7140</v>
      </c>
      <c r="J373">
        <v>11219</v>
      </c>
      <c r="K373">
        <v>1101.17</v>
      </c>
      <c r="L373" s="3">
        <f t="shared" si="5"/>
        <v>0.15422549019607845</v>
      </c>
    </row>
    <row r="374" spans="1:12" x14ac:dyDescent="0.3">
      <c r="A374" s="5" t="s">
        <v>274</v>
      </c>
      <c r="B374" t="s">
        <v>34</v>
      </c>
      <c r="C374">
        <v>2025</v>
      </c>
      <c r="D374" t="s">
        <v>13</v>
      </c>
      <c r="E374" t="s">
        <v>49</v>
      </c>
      <c r="F374" t="s">
        <v>19</v>
      </c>
      <c r="G374" t="s">
        <v>20</v>
      </c>
      <c r="H374">
        <v>18</v>
      </c>
      <c r="I374">
        <v>21258</v>
      </c>
      <c r="J374">
        <v>10149</v>
      </c>
      <c r="K374">
        <v>5595.57</v>
      </c>
      <c r="L374" s="3">
        <f t="shared" si="5"/>
        <v>0.26322184589331071</v>
      </c>
    </row>
    <row r="375" spans="1:12" x14ac:dyDescent="0.3">
      <c r="A375" s="5" t="s">
        <v>144</v>
      </c>
      <c r="B375" t="s">
        <v>12</v>
      </c>
      <c r="C375">
        <v>2025</v>
      </c>
      <c r="D375" t="s">
        <v>13</v>
      </c>
      <c r="E375" t="s">
        <v>26</v>
      </c>
      <c r="F375" t="s">
        <v>15</v>
      </c>
      <c r="G375" t="s">
        <v>16</v>
      </c>
      <c r="H375">
        <v>16</v>
      </c>
      <c r="I375">
        <v>6368</v>
      </c>
      <c r="J375">
        <v>15151</v>
      </c>
      <c r="K375">
        <v>886.63</v>
      </c>
      <c r="L375" s="3">
        <f t="shared" si="5"/>
        <v>0.13923209798994976</v>
      </c>
    </row>
    <row r="376" spans="1:12" x14ac:dyDescent="0.3">
      <c r="A376" s="5" t="s">
        <v>217</v>
      </c>
      <c r="B376" t="s">
        <v>37</v>
      </c>
      <c r="C376">
        <v>2025</v>
      </c>
      <c r="D376" t="s">
        <v>23</v>
      </c>
      <c r="E376" t="s">
        <v>49</v>
      </c>
      <c r="F376" t="s">
        <v>62</v>
      </c>
      <c r="G376" t="s">
        <v>63</v>
      </c>
      <c r="H376">
        <v>15</v>
      </c>
      <c r="I376">
        <v>10650</v>
      </c>
      <c r="J376">
        <v>8462</v>
      </c>
      <c r="K376">
        <v>1557.52</v>
      </c>
      <c r="L376" s="3">
        <f t="shared" si="5"/>
        <v>0.14624600938967136</v>
      </c>
    </row>
    <row r="377" spans="1:12" x14ac:dyDescent="0.3">
      <c r="A377" s="5" t="s">
        <v>213</v>
      </c>
      <c r="B377" t="s">
        <v>45</v>
      </c>
      <c r="C377">
        <v>2025</v>
      </c>
      <c r="D377" t="s">
        <v>18</v>
      </c>
      <c r="E377" t="s">
        <v>60</v>
      </c>
      <c r="F377" t="s">
        <v>42</v>
      </c>
      <c r="G377" t="s">
        <v>20</v>
      </c>
      <c r="H377">
        <v>9</v>
      </c>
      <c r="I377">
        <v>972</v>
      </c>
      <c r="J377">
        <v>10759</v>
      </c>
      <c r="K377">
        <v>205.14</v>
      </c>
      <c r="L377" s="3">
        <f t="shared" si="5"/>
        <v>0.21104938271604937</v>
      </c>
    </row>
    <row r="378" spans="1:12" x14ac:dyDescent="0.3">
      <c r="A378" s="5" t="s">
        <v>91</v>
      </c>
      <c r="B378" t="s">
        <v>39</v>
      </c>
      <c r="C378">
        <v>2025</v>
      </c>
      <c r="D378" t="s">
        <v>32</v>
      </c>
      <c r="E378" t="s">
        <v>26</v>
      </c>
      <c r="F378" t="s">
        <v>19</v>
      </c>
      <c r="G378" t="s">
        <v>20</v>
      </c>
      <c r="H378">
        <v>8</v>
      </c>
      <c r="I378">
        <v>928</v>
      </c>
      <c r="J378">
        <v>11656</v>
      </c>
      <c r="K378">
        <v>170.84</v>
      </c>
      <c r="L378" s="3">
        <f t="shared" si="5"/>
        <v>0.18409482758620691</v>
      </c>
    </row>
    <row r="379" spans="1:12" x14ac:dyDescent="0.3">
      <c r="A379" s="5" t="s">
        <v>275</v>
      </c>
      <c r="B379" t="s">
        <v>34</v>
      </c>
      <c r="C379">
        <v>2025</v>
      </c>
      <c r="D379" t="s">
        <v>18</v>
      </c>
      <c r="E379" t="s">
        <v>28</v>
      </c>
      <c r="F379" t="s">
        <v>42</v>
      </c>
      <c r="G379" t="s">
        <v>20</v>
      </c>
      <c r="H379">
        <v>15</v>
      </c>
      <c r="I379">
        <v>16470</v>
      </c>
      <c r="J379">
        <v>12464</v>
      </c>
      <c r="K379">
        <v>4784.25</v>
      </c>
      <c r="L379" s="3">
        <f t="shared" si="5"/>
        <v>0.29048269581056468</v>
      </c>
    </row>
    <row r="380" spans="1:12" x14ac:dyDescent="0.3">
      <c r="A380" s="5" t="s">
        <v>276</v>
      </c>
      <c r="B380" t="s">
        <v>45</v>
      </c>
      <c r="C380">
        <v>2025</v>
      </c>
      <c r="D380" t="s">
        <v>32</v>
      </c>
      <c r="E380" t="s">
        <v>49</v>
      </c>
      <c r="F380" t="s">
        <v>19</v>
      </c>
      <c r="G380" t="s">
        <v>20</v>
      </c>
      <c r="H380">
        <v>16</v>
      </c>
      <c r="I380">
        <v>10576</v>
      </c>
      <c r="J380">
        <v>17884</v>
      </c>
      <c r="K380">
        <v>1507.79</v>
      </c>
      <c r="L380" s="3">
        <f t="shared" si="5"/>
        <v>0.14256713313161876</v>
      </c>
    </row>
    <row r="381" spans="1:12" x14ac:dyDescent="0.3">
      <c r="A381" s="5" t="s">
        <v>206</v>
      </c>
      <c r="B381" t="s">
        <v>12</v>
      </c>
      <c r="C381">
        <v>2025</v>
      </c>
      <c r="D381" t="s">
        <v>13</v>
      </c>
      <c r="E381" t="s">
        <v>14</v>
      </c>
      <c r="F381" t="s">
        <v>15</v>
      </c>
      <c r="G381" t="s">
        <v>16</v>
      </c>
      <c r="H381">
        <v>5</v>
      </c>
      <c r="I381">
        <v>5625</v>
      </c>
      <c r="J381">
        <v>17262</v>
      </c>
      <c r="K381">
        <v>1596.29</v>
      </c>
      <c r="L381" s="3">
        <f t="shared" si="5"/>
        <v>0.28378488888888886</v>
      </c>
    </row>
    <row r="382" spans="1:12" x14ac:dyDescent="0.3">
      <c r="A382" s="5" t="s">
        <v>186</v>
      </c>
      <c r="B382" t="s">
        <v>45</v>
      </c>
      <c r="C382">
        <v>2025</v>
      </c>
      <c r="D382" t="s">
        <v>23</v>
      </c>
      <c r="E382" t="s">
        <v>60</v>
      </c>
      <c r="F382" t="s">
        <v>19</v>
      </c>
      <c r="G382" t="s">
        <v>20</v>
      </c>
      <c r="H382">
        <v>6</v>
      </c>
      <c r="I382">
        <v>8286</v>
      </c>
      <c r="J382">
        <v>9861</v>
      </c>
      <c r="K382">
        <v>1430.56</v>
      </c>
      <c r="L382" s="3">
        <f t="shared" si="5"/>
        <v>0.17264783972966449</v>
      </c>
    </row>
    <row r="383" spans="1:12" x14ac:dyDescent="0.3">
      <c r="A383" s="5" t="s">
        <v>225</v>
      </c>
      <c r="B383" t="s">
        <v>57</v>
      </c>
      <c r="C383">
        <v>2025</v>
      </c>
      <c r="D383" t="s">
        <v>13</v>
      </c>
      <c r="E383" t="s">
        <v>60</v>
      </c>
      <c r="F383" t="s">
        <v>62</v>
      </c>
      <c r="G383" t="s">
        <v>63</v>
      </c>
      <c r="H383">
        <v>10</v>
      </c>
      <c r="I383">
        <v>6260</v>
      </c>
      <c r="J383">
        <v>9217</v>
      </c>
      <c r="K383">
        <v>1562.45</v>
      </c>
      <c r="L383" s="3">
        <f t="shared" si="5"/>
        <v>0.24959265175718851</v>
      </c>
    </row>
    <row r="384" spans="1:12" x14ac:dyDescent="0.3">
      <c r="A384" s="5" t="s">
        <v>207</v>
      </c>
      <c r="B384" t="s">
        <v>25</v>
      </c>
      <c r="C384">
        <v>2025</v>
      </c>
      <c r="D384" t="s">
        <v>18</v>
      </c>
      <c r="E384" t="s">
        <v>60</v>
      </c>
      <c r="F384" t="s">
        <v>62</v>
      </c>
      <c r="G384" t="s">
        <v>63</v>
      </c>
      <c r="H384">
        <v>6</v>
      </c>
      <c r="I384">
        <v>2826</v>
      </c>
      <c r="J384">
        <v>14294</v>
      </c>
      <c r="K384">
        <v>474.4</v>
      </c>
      <c r="L384" s="3">
        <f t="shared" si="5"/>
        <v>0.16786978060863411</v>
      </c>
    </row>
    <row r="385" spans="1:12" x14ac:dyDescent="0.3">
      <c r="A385" s="5" t="s">
        <v>220</v>
      </c>
      <c r="B385" t="s">
        <v>37</v>
      </c>
      <c r="C385">
        <v>2025</v>
      </c>
      <c r="D385" t="s">
        <v>23</v>
      </c>
      <c r="E385" t="s">
        <v>26</v>
      </c>
      <c r="F385" t="s">
        <v>29</v>
      </c>
      <c r="G385" t="s">
        <v>20</v>
      </c>
      <c r="H385">
        <v>3</v>
      </c>
      <c r="I385">
        <v>2022</v>
      </c>
      <c r="J385">
        <v>7108</v>
      </c>
      <c r="K385">
        <v>562.42999999999995</v>
      </c>
      <c r="L385" s="3">
        <f t="shared" si="5"/>
        <v>0.27815529179030662</v>
      </c>
    </row>
    <row r="386" spans="1:12" x14ac:dyDescent="0.3">
      <c r="A386" s="5" t="s">
        <v>184</v>
      </c>
      <c r="B386" t="s">
        <v>41</v>
      </c>
      <c r="C386">
        <v>2025</v>
      </c>
      <c r="D386" t="s">
        <v>32</v>
      </c>
      <c r="E386" t="s">
        <v>26</v>
      </c>
      <c r="F386" t="s">
        <v>15</v>
      </c>
      <c r="G386" t="s">
        <v>16</v>
      </c>
      <c r="H386">
        <v>8</v>
      </c>
      <c r="I386">
        <v>6248</v>
      </c>
      <c r="J386">
        <v>11557</v>
      </c>
      <c r="K386">
        <v>902.91</v>
      </c>
      <c r="L386" s="3">
        <f t="shared" si="5"/>
        <v>0.14451184379001281</v>
      </c>
    </row>
    <row r="387" spans="1:12" x14ac:dyDescent="0.3">
      <c r="A387" s="5" t="s">
        <v>135</v>
      </c>
      <c r="B387" t="s">
        <v>25</v>
      </c>
      <c r="C387">
        <v>2025</v>
      </c>
      <c r="D387" t="s">
        <v>13</v>
      </c>
      <c r="E387" t="s">
        <v>14</v>
      </c>
      <c r="F387" t="s">
        <v>29</v>
      </c>
      <c r="G387" t="s">
        <v>20</v>
      </c>
      <c r="H387">
        <v>16</v>
      </c>
      <c r="I387">
        <v>4272</v>
      </c>
      <c r="J387">
        <v>10830</v>
      </c>
      <c r="K387">
        <v>1207.45</v>
      </c>
      <c r="L387" s="3">
        <f t="shared" ref="L387:L450" si="6">K387/I387</f>
        <v>0.28264279026217232</v>
      </c>
    </row>
    <row r="388" spans="1:12" x14ac:dyDescent="0.3">
      <c r="A388" s="5" t="s">
        <v>277</v>
      </c>
      <c r="B388" t="s">
        <v>39</v>
      </c>
      <c r="C388">
        <v>2025</v>
      </c>
      <c r="D388" t="s">
        <v>13</v>
      </c>
      <c r="E388" t="s">
        <v>28</v>
      </c>
      <c r="F388" t="s">
        <v>62</v>
      </c>
      <c r="G388" t="s">
        <v>63</v>
      </c>
      <c r="H388">
        <v>13</v>
      </c>
      <c r="I388">
        <v>9009</v>
      </c>
      <c r="J388">
        <v>7797</v>
      </c>
      <c r="K388">
        <v>2423.48</v>
      </c>
      <c r="L388" s="3">
        <f t="shared" si="6"/>
        <v>0.26900654900654902</v>
      </c>
    </row>
    <row r="389" spans="1:12" x14ac:dyDescent="0.3">
      <c r="A389" s="5" t="s">
        <v>229</v>
      </c>
      <c r="B389" t="s">
        <v>85</v>
      </c>
      <c r="C389">
        <v>2025</v>
      </c>
      <c r="D389" t="s">
        <v>18</v>
      </c>
      <c r="E389" t="s">
        <v>60</v>
      </c>
      <c r="F389" t="s">
        <v>19</v>
      </c>
      <c r="G389" t="s">
        <v>20</v>
      </c>
      <c r="H389">
        <v>16</v>
      </c>
      <c r="I389">
        <v>21936</v>
      </c>
      <c r="J389">
        <v>10873</v>
      </c>
      <c r="K389">
        <v>5917.5</v>
      </c>
      <c r="L389" s="3">
        <f t="shared" si="6"/>
        <v>0.26976203501094093</v>
      </c>
    </row>
    <row r="390" spans="1:12" x14ac:dyDescent="0.3">
      <c r="A390" s="5" t="s">
        <v>278</v>
      </c>
      <c r="B390" t="s">
        <v>12</v>
      </c>
      <c r="C390">
        <v>2025</v>
      </c>
      <c r="D390" t="s">
        <v>32</v>
      </c>
      <c r="E390" t="s">
        <v>49</v>
      </c>
      <c r="F390" t="s">
        <v>29</v>
      </c>
      <c r="G390" t="s">
        <v>20</v>
      </c>
      <c r="H390">
        <v>10</v>
      </c>
      <c r="I390">
        <v>2970</v>
      </c>
      <c r="J390">
        <v>10475</v>
      </c>
      <c r="K390">
        <v>698.06</v>
      </c>
      <c r="L390" s="3">
        <f t="shared" si="6"/>
        <v>0.23503703703703702</v>
      </c>
    </row>
    <row r="391" spans="1:12" x14ac:dyDescent="0.3">
      <c r="A391" s="5" t="s">
        <v>88</v>
      </c>
      <c r="B391" t="s">
        <v>22</v>
      </c>
      <c r="C391">
        <v>2025</v>
      </c>
      <c r="D391" t="s">
        <v>32</v>
      </c>
      <c r="E391" t="s">
        <v>49</v>
      </c>
      <c r="F391" t="s">
        <v>62</v>
      </c>
      <c r="G391" t="s">
        <v>63</v>
      </c>
      <c r="H391">
        <v>4</v>
      </c>
      <c r="I391">
        <v>1720</v>
      </c>
      <c r="J391">
        <v>11909</v>
      </c>
      <c r="K391">
        <v>492.49</v>
      </c>
      <c r="L391" s="3">
        <f t="shared" si="6"/>
        <v>0.28633139534883723</v>
      </c>
    </row>
    <row r="392" spans="1:12" x14ac:dyDescent="0.3">
      <c r="A392" s="5" t="s">
        <v>185</v>
      </c>
      <c r="B392" t="s">
        <v>25</v>
      </c>
      <c r="C392">
        <v>2025</v>
      </c>
      <c r="D392" t="s">
        <v>32</v>
      </c>
      <c r="E392" t="s">
        <v>28</v>
      </c>
      <c r="F392" t="s">
        <v>15</v>
      </c>
      <c r="G392" t="s">
        <v>16</v>
      </c>
      <c r="H392">
        <v>3</v>
      </c>
      <c r="I392">
        <v>633</v>
      </c>
      <c r="J392">
        <v>13877</v>
      </c>
      <c r="K392">
        <v>77.349999999999994</v>
      </c>
      <c r="L392" s="3">
        <f t="shared" si="6"/>
        <v>0.12219589257503949</v>
      </c>
    </row>
    <row r="393" spans="1:12" x14ac:dyDescent="0.3">
      <c r="A393" s="5" t="s">
        <v>279</v>
      </c>
      <c r="B393" t="s">
        <v>45</v>
      </c>
      <c r="C393">
        <v>2025</v>
      </c>
      <c r="D393" t="s">
        <v>32</v>
      </c>
      <c r="E393" t="s">
        <v>60</v>
      </c>
      <c r="F393" t="s">
        <v>19</v>
      </c>
      <c r="G393" t="s">
        <v>20</v>
      </c>
      <c r="H393">
        <v>19</v>
      </c>
      <c r="I393">
        <v>13680</v>
      </c>
      <c r="J393">
        <v>18398</v>
      </c>
      <c r="K393">
        <v>2577.27</v>
      </c>
      <c r="L393" s="3">
        <f t="shared" si="6"/>
        <v>0.18839692982456141</v>
      </c>
    </row>
    <row r="394" spans="1:12" x14ac:dyDescent="0.3">
      <c r="A394" s="5" t="s">
        <v>235</v>
      </c>
      <c r="B394" t="s">
        <v>57</v>
      </c>
      <c r="C394">
        <v>2025</v>
      </c>
      <c r="D394" t="s">
        <v>13</v>
      </c>
      <c r="E394" t="s">
        <v>28</v>
      </c>
      <c r="F394" t="s">
        <v>29</v>
      </c>
      <c r="G394" t="s">
        <v>20</v>
      </c>
      <c r="H394">
        <v>14</v>
      </c>
      <c r="I394">
        <v>11438</v>
      </c>
      <c r="J394">
        <v>8390</v>
      </c>
      <c r="K394">
        <v>2194.44</v>
      </c>
      <c r="L394" s="3">
        <f t="shared" si="6"/>
        <v>0.19185521944395875</v>
      </c>
    </row>
    <row r="395" spans="1:12" x14ac:dyDescent="0.3">
      <c r="A395" s="5" t="s">
        <v>280</v>
      </c>
      <c r="B395" t="s">
        <v>39</v>
      </c>
      <c r="C395">
        <v>2025</v>
      </c>
      <c r="D395" t="s">
        <v>18</v>
      </c>
      <c r="E395" t="s">
        <v>49</v>
      </c>
      <c r="F395" t="s">
        <v>42</v>
      </c>
      <c r="G395" t="s">
        <v>20</v>
      </c>
      <c r="H395">
        <v>16</v>
      </c>
      <c r="I395">
        <v>16768</v>
      </c>
      <c r="J395">
        <v>15030</v>
      </c>
      <c r="K395">
        <v>2543.27</v>
      </c>
      <c r="L395" s="3">
        <f t="shared" si="6"/>
        <v>0.15167402194656487</v>
      </c>
    </row>
    <row r="396" spans="1:12" x14ac:dyDescent="0.3">
      <c r="A396" s="5" t="s">
        <v>256</v>
      </c>
      <c r="B396" t="s">
        <v>22</v>
      </c>
      <c r="C396">
        <v>2025</v>
      </c>
      <c r="D396" t="s">
        <v>23</v>
      </c>
      <c r="E396" t="s">
        <v>14</v>
      </c>
      <c r="F396" t="s">
        <v>29</v>
      </c>
      <c r="G396" t="s">
        <v>20</v>
      </c>
      <c r="H396">
        <v>4</v>
      </c>
      <c r="I396">
        <v>4680</v>
      </c>
      <c r="J396">
        <v>18928</v>
      </c>
      <c r="K396">
        <v>667.63</v>
      </c>
      <c r="L396" s="3">
        <f t="shared" si="6"/>
        <v>0.14265598290598291</v>
      </c>
    </row>
    <row r="397" spans="1:12" x14ac:dyDescent="0.3">
      <c r="A397" s="5" t="s">
        <v>145</v>
      </c>
      <c r="B397" t="s">
        <v>34</v>
      </c>
      <c r="C397">
        <v>2025</v>
      </c>
      <c r="D397" t="s">
        <v>13</v>
      </c>
      <c r="E397" t="s">
        <v>14</v>
      </c>
      <c r="F397" t="s">
        <v>62</v>
      </c>
      <c r="G397" t="s">
        <v>63</v>
      </c>
      <c r="H397">
        <v>17</v>
      </c>
      <c r="I397">
        <v>12665</v>
      </c>
      <c r="J397">
        <v>17685</v>
      </c>
      <c r="K397">
        <v>2241.34</v>
      </c>
      <c r="L397" s="3">
        <f t="shared" si="6"/>
        <v>0.17697118041847612</v>
      </c>
    </row>
    <row r="398" spans="1:12" x14ac:dyDescent="0.3">
      <c r="A398" s="5" t="s">
        <v>280</v>
      </c>
      <c r="B398" t="s">
        <v>39</v>
      </c>
      <c r="C398">
        <v>2025</v>
      </c>
      <c r="D398" t="s">
        <v>23</v>
      </c>
      <c r="E398" t="s">
        <v>49</v>
      </c>
      <c r="F398" t="s">
        <v>42</v>
      </c>
      <c r="G398" t="s">
        <v>20</v>
      </c>
      <c r="H398">
        <v>6</v>
      </c>
      <c r="I398">
        <v>5676</v>
      </c>
      <c r="J398">
        <v>11987</v>
      </c>
      <c r="K398">
        <v>952.11</v>
      </c>
      <c r="L398" s="3">
        <f t="shared" si="6"/>
        <v>0.16774312896405921</v>
      </c>
    </row>
    <row r="399" spans="1:12" x14ac:dyDescent="0.3">
      <c r="A399" s="5" t="s">
        <v>38</v>
      </c>
      <c r="B399" t="s">
        <v>39</v>
      </c>
      <c r="C399">
        <v>2025</v>
      </c>
      <c r="D399" t="s">
        <v>32</v>
      </c>
      <c r="E399" t="s">
        <v>26</v>
      </c>
      <c r="F399" t="s">
        <v>15</v>
      </c>
      <c r="G399" t="s">
        <v>16</v>
      </c>
      <c r="H399">
        <v>7</v>
      </c>
      <c r="I399">
        <v>10311</v>
      </c>
      <c r="J399">
        <v>16316</v>
      </c>
      <c r="K399">
        <v>1747.72</v>
      </c>
      <c r="L399" s="3">
        <f t="shared" si="6"/>
        <v>0.16950053341092039</v>
      </c>
    </row>
    <row r="400" spans="1:12" x14ac:dyDescent="0.3">
      <c r="A400" s="5" t="s">
        <v>24</v>
      </c>
      <c r="B400" t="s">
        <v>25</v>
      </c>
      <c r="C400">
        <v>2025</v>
      </c>
      <c r="D400" t="s">
        <v>32</v>
      </c>
      <c r="E400" t="s">
        <v>14</v>
      </c>
      <c r="F400" t="s">
        <v>19</v>
      </c>
      <c r="G400" t="s">
        <v>20</v>
      </c>
      <c r="H400">
        <v>18</v>
      </c>
      <c r="I400">
        <v>15624</v>
      </c>
      <c r="J400">
        <v>15562</v>
      </c>
      <c r="K400">
        <v>4261.38</v>
      </c>
      <c r="L400" s="3">
        <f t="shared" si="6"/>
        <v>0.2727457757296467</v>
      </c>
    </row>
    <row r="401" spans="1:12" x14ac:dyDescent="0.3">
      <c r="A401" s="5" t="s">
        <v>167</v>
      </c>
      <c r="B401" t="s">
        <v>45</v>
      </c>
      <c r="C401">
        <v>2025</v>
      </c>
      <c r="D401" t="s">
        <v>13</v>
      </c>
      <c r="E401" t="s">
        <v>28</v>
      </c>
      <c r="F401" t="s">
        <v>19</v>
      </c>
      <c r="G401" t="s">
        <v>20</v>
      </c>
      <c r="H401">
        <v>7</v>
      </c>
      <c r="I401">
        <v>8995</v>
      </c>
      <c r="J401">
        <v>14328</v>
      </c>
      <c r="K401">
        <v>1740.2</v>
      </c>
      <c r="L401" s="3">
        <f t="shared" si="6"/>
        <v>0.19346303501945525</v>
      </c>
    </row>
    <row r="402" spans="1:12" x14ac:dyDescent="0.3">
      <c r="A402" s="5" t="s">
        <v>281</v>
      </c>
      <c r="B402" t="s">
        <v>41</v>
      </c>
      <c r="C402">
        <v>2025</v>
      </c>
      <c r="D402" t="s">
        <v>23</v>
      </c>
      <c r="E402" t="s">
        <v>60</v>
      </c>
      <c r="F402" t="s">
        <v>19</v>
      </c>
      <c r="G402" t="s">
        <v>20</v>
      </c>
      <c r="H402">
        <v>15</v>
      </c>
      <c r="I402">
        <v>2595</v>
      </c>
      <c r="J402">
        <v>7894</v>
      </c>
      <c r="K402">
        <v>545.04</v>
      </c>
      <c r="L402" s="3">
        <f t="shared" si="6"/>
        <v>0.21003468208092485</v>
      </c>
    </row>
    <row r="403" spans="1:12" x14ac:dyDescent="0.3">
      <c r="A403" s="5" t="s">
        <v>165</v>
      </c>
      <c r="B403" t="s">
        <v>22</v>
      </c>
      <c r="C403">
        <v>2025</v>
      </c>
      <c r="D403" t="s">
        <v>18</v>
      </c>
      <c r="E403" t="s">
        <v>26</v>
      </c>
      <c r="F403" t="s">
        <v>15</v>
      </c>
      <c r="G403" t="s">
        <v>16</v>
      </c>
      <c r="H403">
        <v>13</v>
      </c>
      <c r="I403">
        <v>17927</v>
      </c>
      <c r="J403">
        <v>14846</v>
      </c>
      <c r="K403">
        <v>3770.81</v>
      </c>
      <c r="L403" s="3">
        <f t="shared" si="6"/>
        <v>0.21034250013945446</v>
      </c>
    </row>
    <row r="404" spans="1:12" x14ac:dyDescent="0.3">
      <c r="A404" s="5" t="s">
        <v>282</v>
      </c>
      <c r="B404" t="s">
        <v>37</v>
      </c>
      <c r="C404">
        <v>2025</v>
      </c>
      <c r="D404" t="s">
        <v>32</v>
      </c>
      <c r="E404" t="s">
        <v>26</v>
      </c>
      <c r="F404" t="s">
        <v>42</v>
      </c>
      <c r="G404" t="s">
        <v>20</v>
      </c>
      <c r="H404">
        <v>16</v>
      </c>
      <c r="I404">
        <v>8896</v>
      </c>
      <c r="J404">
        <v>8845</v>
      </c>
      <c r="K404">
        <v>2558.56</v>
      </c>
      <c r="L404" s="3">
        <f t="shared" si="6"/>
        <v>0.28760791366906474</v>
      </c>
    </row>
    <row r="405" spans="1:12" x14ac:dyDescent="0.3">
      <c r="A405" s="5" t="s">
        <v>283</v>
      </c>
      <c r="B405" t="s">
        <v>25</v>
      </c>
      <c r="C405">
        <v>2025</v>
      </c>
      <c r="D405" t="s">
        <v>23</v>
      </c>
      <c r="E405" t="s">
        <v>49</v>
      </c>
      <c r="F405" t="s">
        <v>62</v>
      </c>
      <c r="G405" t="s">
        <v>63</v>
      </c>
      <c r="H405">
        <v>18</v>
      </c>
      <c r="I405">
        <v>12294</v>
      </c>
      <c r="J405">
        <v>10180</v>
      </c>
      <c r="K405">
        <v>2838.14</v>
      </c>
      <c r="L405" s="3">
        <f t="shared" si="6"/>
        <v>0.23085570196843988</v>
      </c>
    </row>
    <row r="406" spans="1:12" x14ac:dyDescent="0.3">
      <c r="A406" s="5" t="s">
        <v>177</v>
      </c>
      <c r="B406" t="s">
        <v>31</v>
      </c>
      <c r="C406">
        <v>2025</v>
      </c>
      <c r="D406" t="s">
        <v>13</v>
      </c>
      <c r="E406" t="s">
        <v>28</v>
      </c>
      <c r="F406" t="s">
        <v>62</v>
      </c>
      <c r="G406" t="s">
        <v>63</v>
      </c>
      <c r="H406">
        <v>5</v>
      </c>
      <c r="I406">
        <v>5770</v>
      </c>
      <c r="J406">
        <v>16668</v>
      </c>
      <c r="K406">
        <v>1644.64</v>
      </c>
      <c r="L406" s="3">
        <f t="shared" si="6"/>
        <v>0.28503292894280763</v>
      </c>
    </row>
    <row r="407" spans="1:12" x14ac:dyDescent="0.3">
      <c r="A407" s="5" t="s">
        <v>249</v>
      </c>
      <c r="B407" t="s">
        <v>39</v>
      </c>
      <c r="C407">
        <v>2025</v>
      </c>
      <c r="D407" t="s">
        <v>18</v>
      </c>
      <c r="E407" t="s">
        <v>28</v>
      </c>
      <c r="F407" t="s">
        <v>62</v>
      </c>
      <c r="G407" t="s">
        <v>63</v>
      </c>
      <c r="H407">
        <v>14</v>
      </c>
      <c r="I407">
        <v>9240</v>
      </c>
      <c r="J407">
        <v>19599</v>
      </c>
      <c r="K407">
        <v>1097.54</v>
      </c>
      <c r="L407" s="3">
        <f t="shared" si="6"/>
        <v>0.11878138528138528</v>
      </c>
    </row>
    <row r="408" spans="1:12" x14ac:dyDescent="0.3">
      <c r="A408" s="5" t="s">
        <v>190</v>
      </c>
      <c r="B408" t="s">
        <v>25</v>
      </c>
      <c r="C408">
        <v>2025</v>
      </c>
      <c r="D408" t="s">
        <v>13</v>
      </c>
      <c r="E408" t="s">
        <v>60</v>
      </c>
      <c r="F408" t="s">
        <v>29</v>
      </c>
      <c r="G408" t="s">
        <v>20</v>
      </c>
      <c r="H408">
        <v>2</v>
      </c>
      <c r="I408">
        <v>2374</v>
      </c>
      <c r="J408">
        <v>7259</v>
      </c>
      <c r="K408">
        <v>451.92</v>
      </c>
      <c r="L408" s="3">
        <f t="shared" si="6"/>
        <v>0.19036225779275484</v>
      </c>
    </row>
    <row r="409" spans="1:12" x14ac:dyDescent="0.3">
      <c r="A409" s="5" t="s">
        <v>284</v>
      </c>
      <c r="B409" t="s">
        <v>39</v>
      </c>
      <c r="C409">
        <v>2025</v>
      </c>
      <c r="D409" t="s">
        <v>18</v>
      </c>
      <c r="E409" t="s">
        <v>49</v>
      </c>
      <c r="F409" t="s">
        <v>62</v>
      </c>
      <c r="G409" t="s">
        <v>63</v>
      </c>
      <c r="H409">
        <v>6</v>
      </c>
      <c r="I409">
        <v>8640</v>
      </c>
      <c r="J409">
        <v>5622</v>
      </c>
      <c r="K409">
        <v>1517.26</v>
      </c>
      <c r="L409" s="3">
        <f t="shared" si="6"/>
        <v>0.1756087962962963</v>
      </c>
    </row>
    <row r="410" spans="1:12" x14ac:dyDescent="0.3">
      <c r="A410" s="5" t="s">
        <v>64</v>
      </c>
      <c r="B410" t="s">
        <v>48</v>
      </c>
      <c r="C410">
        <v>2025</v>
      </c>
      <c r="D410" t="s">
        <v>23</v>
      </c>
      <c r="E410" t="s">
        <v>60</v>
      </c>
      <c r="F410" t="s">
        <v>19</v>
      </c>
      <c r="G410" t="s">
        <v>20</v>
      </c>
      <c r="H410">
        <v>10</v>
      </c>
      <c r="I410">
        <v>13650</v>
      </c>
      <c r="J410">
        <v>19347</v>
      </c>
      <c r="K410">
        <v>3609.06</v>
      </c>
      <c r="L410" s="3">
        <f t="shared" si="6"/>
        <v>0.26439999999999997</v>
      </c>
    </row>
    <row r="411" spans="1:12" x14ac:dyDescent="0.3">
      <c r="A411" s="5" t="s">
        <v>260</v>
      </c>
      <c r="B411" t="s">
        <v>22</v>
      </c>
      <c r="C411">
        <v>2025</v>
      </c>
      <c r="D411" t="s">
        <v>13</v>
      </c>
      <c r="E411" t="s">
        <v>60</v>
      </c>
      <c r="F411" t="s">
        <v>35</v>
      </c>
      <c r="G411" t="s">
        <v>20</v>
      </c>
      <c r="H411">
        <v>10</v>
      </c>
      <c r="I411">
        <v>6840</v>
      </c>
      <c r="J411">
        <v>6379</v>
      </c>
      <c r="K411">
        <v>1549.65</v>
      </c>
      <c r="L411" s="3">
        <f t="shared" si="6"/>
        <v>0.22655701754385965</v>
      </c>
    </row>
    <row r="412" spans="1:12" x14ac:dyDescent="0.3">
      <c r="A412" s="5" t="s">
        <v>160</v>
      </c>
      <c r="B412" t="s">
        <v>25</v>
      </c>
      <c r="C412">
        <v>2025</v>
      </c>
      <c r="D412" t="s">
        <v>13</v>
      </c>
      <c r="E412" t="s">
        <v>49</v>
      </c>
      <c r="F412" t="s">
        <v>62</v>
      </c>
      <c r="G412" t="s">
        <v>63</v>
      </c>
      <c r="H412">
        <v>8</v>
      </c>
      <c r="I412">
        <v>4712</v>
      </c>
      <c r="J412">
        <v>13193</v>
      </c>
      <c r="K412">
        <v>794.71</v>
      </c>
      <c r="L412" s="3">
        <f t="shared" si="6"/>
        <v>0.16865662139219015</v>
      </c>
    </row>
    <row r="413" spans="1:12" x14ac:dyDescent="0.3">
      <c r="A413" s="5" t="s">
        <v>90</v>
      </c>
      <c r="B413" t="s">
        <v>57</v>
      </c>
      <c r="C413">
        <v>2025</v>
      </c>
      <c r="D413" t="s">
        <v>32</v>
      </c>
      <c r="E413" t="s">
        <v>60</v>
      </c>
      <c r="F413" t="s">
        <v>62</v>
      </c>
      <c r="G413" t="s">
        <v>63</v>
      </c>
      <c r="H413">
        <v>8</v>
      </c>
      <c r="I413">
        <v>7784</v>
      </c>
      <c r="J413">
        <v>8531</v>
      </c>
      <c r="K413">
        <v>2191.7800000000002</v>
      </c>
      <c r="L413" s="3">
        <f t="shared" si="6"/>
        <v>0.28157502569373077</v>
      </c>
    </row>
    <row r="414" spans="1:12" x14ac:dyDescent="0.3">
      <c r="A414" s="5" t="s">
        <v>214</v>
      </c>
      <c r="B414" t="s">
        <v>85</v>
      </c>
      <c r="C414">
        <v>2025</v>
      </c>
      <c r="D414" t="s">
        <v>13</v>
      </c>
      <c r="E414" t="s">
        <v>28</v>
      </c>
      <c r="F414" t="s">
        <v>62</v>
      </c>
      <c r="G414" t="s">
        <v>63</v>
      </c>
      <c r="H414">
        <v>8</v>
      </c>
      <c r="I414">
        <v>4848</v>
      </c>
      <c r="J414">
        <v>7912</v>
      </c>
      <c r="K414">
        <v>1163.5</v>
      </c>
      <c r="L414" s="3">
        <f t="shared" si="6"/>
        <v>0.23999587458745875</v>
      </c>
    </row>
    <row r="415" spans="1:12" x14ac:dyDescent="0.3">
      <c r="A415" s="5" t="s">
        <v>285</v>
      </c>
      <c r="B415" t="s">
        <v>48</v>
      </c>
      <c r="C415">
        <v>2025</v>
      </c>
      <c r="D415" t="s">
        <v>18</v>
      </c>
      <c r="E415" t="s">
        <v>60</v>
      </c>
      <c r="F415" t="s">
        <v>29</v>
      </c>
      <c r="G415" t="s">
        <v>20</v>
      </c>
      <c r="H415">
        <v>4</v>
      </c>
      <c r="I415">
        <v>4268</v>
      </c>
      <c r="J415">
        <v>14889</v>
      </c>
      <c r="K415">
        <v>739.34</v>
      </c>
      <c r="L415" s="3">
        <f t="shared" si="6"/>
        <v>0.1732286785379569</v>
      </c>
    </row>
    <row r="416" spans="1:12" x14ac:dyDescent="0.3">
      <c r="A416" s="5" t="s">
        <v>286</v>
      </c>
      <c r="B416" t="s">
        <v>48</v>
      </c>
      <c r="C416">
        <v>2025</v>
      </c>
      <c r="D416" t="s">
        <v>13</v>
      </c>
      <c r="E416" t="s">
        <v>14</v>
      </c>
      <c r="F416" t="s">
        <v>15</v>
      </c>
      <c r="G416" t="s">
        <v>16</v>
      </c>
      <c r="H416">
        <v>3</v>
      </c>
      <c r="I416">
        <v>558</v>
      </c>
      <c r="J416">
        <v>16737</v>
      </c>
      <c r="K416">
        <v>104.71</v>
      </c>
      <c r="L416" s="3">
        <f t="shared" si="6"/>
        <v>0.18765232974910392</v>
      </c>
    </row>
    <row r="417" spans="1:12" x14ac:dyDescent="0.3">
      <c r="A417" s="5" t="s">
        <v>127</v>
      </c>
      <c r="B417" t="s">
        <v>48</v>
      </c>
      <c r="C417">
        <v>2025</v>
      </c>
      <c r="D417" t="s">
        <v>23</v>
      </c>
      <c r="E417" t="s">
        <v>49</v>
      </c>
      <c r="F417" t="s">
        <v>62</v>
      </c>
      <c r="G417" t="s">
        <v>63</v>
      </c>
      <c r="H417">
        <v>11</v>
      </c>
      <c r="I417">
        <v>8811</v>
      </c>
      <c r="J417">
        <v>14725</v>
      </c>
      <c r="K417">
        <v>1224.21</v>
      </c>
      <c r="L417" s="3">
        <f t="shared" si="6"/>
        <v>0.13894109635682669</v>
      </c>
    </row>
    <row r="418" spans="1:12" x14ac:dyDescent="0.3">
      <c r="A418" s="5" t="s">
        <v>139</v>
      </c>
      <c r="B418" t="s">
        <v>57</v>
      </c>
      <c r="C418">
        <v>2025</v>
      </c>
      <c r="D418" t="s">
        <v>32</v>
      </c>
      <c r="E418" t="s">
        <v>28</v>
      </c>
      <c r="F418" t="s">
        <v>35</v>
      </c>
      <c r="G418" t="s">
        <v>20</v>
      </c>
      <c r="H418">
        <v>5</v>
      </c>
      <c r="I418">
        <v>2065</v>
      </c>
      <c r="J418">
        <v>15858</v>
      </c>
      <c r="K418">
        <v>597.83000000000004</v>
      </c>
      <c r="L418" s="3">
        <f t="shared" si="6"/>
        <v>0.28950605326876516</v>
      </c>
    </row>
    <row r="419" spans="1:12" x14ac:dyDescent="0.3">
      <c r="A419" s="5" t="s">
        <v>267</v>
      </c>
      <c r="B419" t="s">
        <v>45</v>
      </c>
      <c r="C419">
        <v>2025</v>
      </c>
      <c r="D419" t="s">
        <v>13</v>
      </c>
      <c r="E419" t="s">
        <v>60</v>
      </c>
      <c r="F419" t="s">
        <v>62</v>
      </c>
      <c r="G419" t="s">
        <v>63</v>
      </c>
      <c r="H419">
        <v>3</v>
      </c>
      <c r="I419">
        <v>2667</v>
      </c>
      <c r="J419">
        <v>9494</v>
      </c>
      <c r="K419">
        <v>566.66</v>
      </c>
      <c r="L419" s="3">
        <f t="shared" si="6"/>
        <v>0.21247094113235845</v>
      </c>
    </row>
    <row r="420" spans="1:12" x14ac:dyDescent="0.3">
      <c r="A420" s="5" t="s">
        <v>287</v>
      </c>
      <c r="B420" t="s">
        <v>41</v>
      </c>
      <c r="C420">
        <v>2025</v>
      </c>
      <c r="D420" t="s">
        <v>13</v>
      </c>
      <c r="E420" t="s">
        <v>49</v>
      </c>
      <c r="F420" t="s">
        <v>42</v>
      </c>
      <c r="G420" t="s">
        <v>20</v>
      </c>
      <c r="H420">
        <v>1</v>
      </c>
      <c r="I420">
        <v>1327</v>
      </c>
      <c r="J420">
        <v>12319</v>
      </c>
      <c r="K420">
        <v>261.83</v>
      </c>
      <c r="L420" s="3">
        <f t="shared" si="6"/>
        <v>0.19730972117558401</v>
      </c>
    </row>
    <row r="421" spans="1:12" x14ac:dyDescent="0.3">
      <c r="A421" s="5" t="s">
        <v>216</v>
      </c>
      <c r="B421" t="s">
        <v>85</v>
      </c>
      <c r="C421">
        <v>2025</v>
      </c>
      <c r="D421" t="s">
        <v>32</v>
      </c>
      <c r="E421" t="s">
        <v>14</v>
      </c>
      <c r="F421" t="s">
        <v>29</v>
      </c>
      <c r="G421" t="s">
        <v>20</v>
      </c>
      <c r="H421">
        <v>6</v>
      </c>
      <c r="I421">
        <v>8952</v>
      </c>
      <c r="J421">
        <v>7377</v>
      </c>
      <c r="K421">
        <v>1937.53</v>
      </c>
      <c r="L421" s="3">
        <f t="shared" si="6"/>
        <v>0.21643543342269883</v>
      </c>
    </row>
    <row r="422" spans="1:12" x14ac:dyDescent="0.3">
      <c r="A422" s="5" t="s">
        <v>126</v>
      </c>
      <c r="B422" t="s">
        <v>34</v>
      </c>
      <c r="C422">
        <v>2025</v>
      </c>
      <c r="D422" t="s">
        <v>13</v>
      </c>
      <c r="E422" t="s">
        <v>14</v>
      </c>
      <c r="F422" t="s">
        <v>62</v>
      </c>
      <c r="G422" t="s">
        <v>63</v>
      </c>
      <c r="H422">
        <v>5</v>
      </c>
      <c r="I422">
        <v>7000</v>
      </c>
      <c r="J422">
        <v>17928</v>
      </c>
      <c r="K422">
        <v>827.46</v>
      </c>
      <c r="L422" s="3">
        <f t="shared" si="6"/>
        <v>0.11820857142857144</v>
      </c>
    </row>
    <row r="423" spans="1:12" x14ac:dyDescent="0.3">
      <c r="A423" s="5" t="s">
        <v>247</v>
      </c>
      <c r="B423" t="s">
        <v>31</v>
      </c>
      <c r="C423">
        <v>2025</v>
      </c>
      <c r="D423" t="s">
        <v>32</v>
      </c>
      <c r="E423" t="s">
        <v>26</v>
      </c>
      <c r="F423" t="s">
        <v>29</v>
      </c>
      <c r="G423" t="s">
        <v>20</v>
      </c>
      <c r="H423">
        <v>10</v>
      </c>
      <c r="I423">
        <v>12150</v>
      </c>
      <c r="J423">
        <v>7872</v>
      </c>
      <c r="K423">
        <v>2994.44</v>
      </c>
      <c r="L423" s="3">
        <f t="shared" si="6"/>
        <v>0.24645596707818931</v>
      </c>
    </row>
    <row r="424" spans="1:12" x14ac:dyDescent="0.3">
      <c r="A424" s="5" t="s">
        <v>288</v>
      </c>
      <c r="B424" t="s">
        <v>57</v>
      </c>
      <c r="C424">
        <v>2025</v>
      </c>
      <c r="D424" t="s">
        <v>23</v>
      </c>
      <c r="E424" t="s">
        <v>26</v>
      </c>
      <c r="F424" t="s">
        <v>29</v>
      </c>
      <c r="G424" t="s">
        <v>20</v>
      </c>
      <c r="H424">
        <v>18</v>
      </c>
      <c r="I424">
        <v>2988</v>
      </c>
      <c r="J424">
        <v>17180</v>
      </c>
      <c r="K424">
        <v>545.39</v>
      </c>
      <c r="L424" s="3">
        <f t="shared" si="6"/>
        <v>0.18252677376171353</v>
      </c>
    </row>
    <row r="425" spans="1:12" x14ac:dyDescent="0.3">
      <c r="A425" s="5" t="s">
        <v>289</v>
      </c>
      <c r="B425" t="s">
        <v>48</v>
      </c>
      <c r="C425">
        <v>2025</v>
      </c>
      <c r="D425" t="s">
        <v>13</v>
      </c>
      <c r="E425" t="s">
        <v>49</v>
      </c>
      <c r="F425" t="s">
        <v>42</v>
      </c>
      <c r="G425" t="s">
        <v>20</v>
      </c>
      <c r="H425">
        <v>20</v>
      </c>
      <c r="I425">
        <v>15060</v>
      </c>
      <c r="J425">
        <v>15437</v>
      </c>
      <c r="K425">
        <v>2267.3200000000002</v>
      </c>
      <c r="L425" s="3">
        <f t="shared" si="6"/>
        <v>0.15055245683930943</v>
      </c>
    </row>
    <row r="426" spans="1:12" x14ac:dyDescent="0.3">
      <c r="A426" s="5" t="s">
        <v>159</v>
      </c>
      <c r="B426" t="s">
        <v>12</v>
      </c>
      <c r="C426">
        <v>2025</v>
      </c>
      <c r="D426" t="s">
        <v>18</v>
      </c>
      <c r="E426" t="s">
        <v>49</v>
      </c>
      <c r="F426" t="s">
        <v>42</v>
      </c>
      <c r="G426" t="s">
        <v>20</v>
      </c>
      <c r="H426">
        <v>15</v>
      </c>
      <c r="I426">
        <v>15735</v>
      </c>
      <c r="J426">
        <v>16000</v>
      </c>
      <c r="K426">
        <v>1743.41</v>
      </c>
      <c r="L426" s="3">
        <f t="shared" si="6"/>
        <v>0.1107982205274865</v>
      </c>
    </row>
    <row r="427" spans="1:12" x14ac:dyDescent="0.3">
      <c r="A427" s="5" t="s">
        <v>290</v>
      </c>
      <c r="B427" t="s">
        <v>45</v>
      </c>
      <c r="C427">
        <v>2025</v>
      </c>
      <c r="D427" t="s">
        <v>18</v>
      </c>
      <c r="E427" t="s">
        <v>26</v>
      </c>
      <c r="F427" t="s">
        <v>29</v>
      </c>
      <c r="G427" t="s">
        <v>20</v>
      </c>
      <c r="H427">
        <v>4</v>
      </c>
      <c r="I427">
        <v>3588</v>
      </c>
      <c r="J427">
        <v>11354</v>
      </c>
      <c r="K427">
        <v>824.73</v>
      </c>
      <c r="L427" s="3">
        <f t="shared" si="6"/>
        <v>0.22985785953177257</v>
      </c>
    </row>
    <row r="428" spans="1:12" x14ac:dyDescent="0.3">
      <c r="A428" s="5" t="s">
        <v>73</v>
      </c>
      <c r="B428" t="s">
        <v>48</v>
      </c>
      <c r="C428">
        <v>2025</v>
      </c>
      <c r="D428" t="s">
        <v>18</v>
      </c>
      <c r="E428" t="s">
        <v>14</v>
      </c>
      <c r="F428" t="s">
        <v>19</v>
      </c>
      <c r="G428" t="s">
        <v>20</v>
      </c>
      <c r="H428">
        <v>3</v>
      </c>
      <c r="I428">
        <v>1962</v>
      </c>
      <c r="J428">
        <v>16164</v>
      </c>
      <c r="K428">
        <v>358.72</v>
      </c>
      <c r="L428" s="3">
        <f t="shared" si="6"/>
        <v>0.18283384301732927</v>
      </c>
    </row>
    <row r="429" spans="1:12" x14ac:dyDescent="0.3">
      <c r="A429" s="5" t="s">
        <v>154</v>
      </c>
      <c r="B429" t="s">
        <v>45</v>
      </c>
      <c r="C429">
        <v>2025</v>
      </c>
      <c r="D429" t="s">
        <v>18</v>
      </c>
      <c r="E429" t="s">
        <v>60</v>
      </c>
      <c r="F429" t="s">
        <v>15</v>
      </c>
      <c r="G429" t="s">
        <v>16</v>
      </c>
      <c r="H429">
        <v>4</v>
      </c>
      <c r="I429">
        <v>412</v>
      </c>
      <c r="J429">
        <v>11627</v>
      </c>
      <c r="K429">
        <v>49.08</v>
      </c>
      <c r="L429" s="3">
        <f t="shared" si="6"/>
        <v>0.11912621359223301</v>
      </c>
    </row>
    <row r="430" spans="1:12" x14ac:dyDescent="0.3">
      <c r="A430" s="5" t="s">
        <v>291</v>
      </c>
      <c r="B430" t="s">
        <v>57</v>
      </c>
      <c r="C430">
        <v>2025</v>
      </c>
      <c r="D430" t="s">
        <v>13</v>
      </c>
      <c r="E430" t="s">
        <v>28</v>
      </c>
      <c r="F430" t="s">
        <v>29</v>
      </c>
      <c r="G430" t="s">
        <v>20</v>
      </c>
      <c r="H430">
        <v>9</v>
      </c>
      <c r="I430">
        <v>10944</v>
      </c>
      <c r="J430">
        <v>16842</v>
      </c>
      <c r="K430">
        <v>1957.47</v>
      </c>
      <c r="L430" s="3">
        <f t="shared" si="6"/>
        <v>0.1788623903508772</v>
      </c>
    </row>
    <row r="431" spans="1:12" x14ac:dyDescent="0.3">
      <c r="A431" s="5" t="s">
        <v>30</v>
      </c>
      <c r="B431" t="s">
        <v>31</v>
      </c>
      <c r="C431">
        <v>2025</v>
      </c>
      <c r="D431" t="s">
        <v>13</v>
      </c>
      <c r="E431" t="s">
        <v>49</v>
      </c>
      <c r="F431" t="s">
        <v>19</v>
      </c>
      <c r="G431" t="s">
        <v>20</v>
      </c>
      <c r="H431">
        <v>11</v>
      </c>
      <c r="I431">
        <v>3091</v>
      </c>
      <c r="J431">
        <v>8381</v>
      </c>
      <c r="K431">
        <v>866.2</v>
      </c>
      <c r="L431" s="3">
        <f t="shared" si="6"/>
        <v>0.28023293432546104</v>
      </c>
    </row>
    <row r="432" spans="1:12" x14ac:dyDescent="0.3">
      <c r="A432" s="5" t="s">
        <v>290</v>
      </c>
      <c r="B432" t="s">
        <v>45</v>
      </c>
      <c r="C432">
        <v>2025</v>
      </c>
      <c r="D432" t="s">
        <v>32</v>
      </c>
      <c r="E432" t="s">
        <v>49</v>
      </c>
      <c r="F432" t="s">
        <v>29</v>
      </c>
      <c r="G432" t="s">
        <v>20</v>
      </c>
      <c r="H432">
        <v>8</v>
      </c>
      <c r="I432">
        <v>5176</v>
      </c>
      <c r="J432">
        <v>8930</v>
      </c>
      <c r="K432">
        <v>1025.99</v>
      </c>
      <c r="L432" s="3">
        <f t="shared" si="6"/>
        <v>0.19822063369397219</v>
      </c>
    </row>
    <row r="433" spans="1:12" x14ac:dyDescent="0.3">
      <c r="A433" s="5" t="s">
        <v>290</v>
      </c>
      <c r="B433" t="s">
        <v>45</v>
      </c>
      <c r="C433">
        <v>2025</v>
      </c>
      <c r="D433" t="s">
        <v>32</v>
      </c>
      <c r="E433" t="s">
        <v>28</v>
      </c>
      <c r="F433" t="s">
        <v>29</v>
      </c>
      <c r="G433" t="s">
        <v>20</v>
      </c>
      <c r="H433">
        <v>15</v>
      </c>
      <c r="I433">
        <v>12915</v>
      </c>
      <c r="J433">
        <v>18912</v>
      </c>
      <c r="K433">
        <v>2270.5100000000002</v>
      </c>
      <c r="L433" s="3">
        <f t="shared" si="6"/>
        <v>0.17580410375532329</v>
      </c>
    </row>
    <row r="434" spans="1:12" x14ac:dyDescent="0.3">
      <c r="A434" s="5" t="s">
        <v>110</v>
      </c>
      <c r="B434" t="s">
        <v>37</v>
      </c>
      <c r="C434">
        <v>2025</v>
      </c>
      <c r="D434" t="s">
        <v>18</v>
      </c>
      <c r="E434" t="s">
        <v>60</v>
      </c>
      <c r="F434" t="s">
        <v>35</v>
      </c>
      <c r="G434" t="s">
        <v>20</v>
      </c>
      <c r="H434">
        <v>19</v>
      </c>
      <c r="I434">
        <v>2052</v>
      </c>
      <c r="J434">
        <v>15479</v>
      </c>
      <c r="K434">
        <v>245.81</v>
      </c>
      <c r="L434" s="3">
        <f t="shared" si="6"/>
        <v>0.11979044834307992</v>
      </c>
    </row>
    <row r="435" spans="1:12" x14ac:dyDescent="0.3">
      <c r="A435" s="5" t="s">
        <v>108</v>
      </c>
      <c r="B435" t="s">
        <v>37</v>
      </c>
      <c r="C435">
        <v>2025</v>
      </c>
      <c r="D435" t="s">
        <v>32</v>
      </c>
      <c r="E435" t="s">
        <v>14</v>
      </c>
      <c r="F435" t="s">
        <v>29</v>
      </c>
      <c r="G435" t="s">
        <v>20</v>
      </c>
      <c r="H435">
        <v>17</v>
      </c>
      <c r="I435">
        <v>14365</v>
      </c>
      <c r="J435">
        <v>6657</v>
      </c>
      <c r="K435">
        <v>3970.24</v>
      </c>
      <c r="L435" s="3">
        <f t="shared" si="6"/>
        <v>0.2763828750435085</v>
      </c>
    </row>
    <row r="436" spans="1:12" x14ac:dyDescent="0.3">
      <c r="A436" s="5" t="s">
        <v>123</v>
      </c>
      <c r="B436" t="s">
        <v>25</v>
      </c>
      <c r="C436">
        <v>2025</v>
      </c>
      <c r="D436" t="s">
        <v>18</v>
      </c>
      <c r="E436" t="s">
        <v>49</v>
      </c>
      <c r="F436" t="s">
        <v>42</v>
      </c>
      <c r="G436" t="s">
        <v>20</v>
      </c>
      <c r="H436">
        <v>11</v>
      </c>
      <c r="I436">
        <v>7799</v>
      </c>
      <c r="J436">
        <v>18624</v>
      </c>
      <c r="K436">
        <v>2068.25</v>
      </c>
      <c r="L436" s="3">
        <f t="shared" si="6"/>
        <v>0.26519425567380434</v>
      </c>
    </row>
    <row r="437" spans="1:12" x14ac:dyDescent="0.3">
      <c r="A437" s="5" t="s">
        <v>292</v>
      </c>
      <c r="B437" t="s">
        <v>41</v>
      </c>
      <c r="C437">
        <v>2025</v>
      </c>
      <c r="D437" t="s">
        <v>32</v>
      </c>
      <c r="E437" t="s">
        <v>28</v>
      </c>
      <c r="F437" t="s">
        <v>15</v>
      </c>
      <c r="G437" t="s">
        <v>16</v>
      </c>
      <c r="H437">
        <v>6</v>
      </c>
      <c r="I437">
        <v>2898</v>
      </c>
      <c r="J437">
        <v>19206</v>
      </c>
      <c r="K437">
        <v>349.43</v>
      </c>
      <c r="L437" s="3">
        <f t="shared" si="6"/>
        <v>0.12057625948930296</v>
      </c>
    </row>
    <row r="438" spans="1:12" x14ac:dyDescent="0.3">
      <c r="A438" s="5" t="s">
        <v>171</v>
      </c>
      <c r="B438" t="s">
        <v>85</v>
      </c>
      <c r="C438">
        <v>2025</v>
      </c>
      <c r="D438" t="s">
        <v>13</v>
      </c>
      <c r="E438" t="s">
        <v>49</v>
      </c>
      <c r="F438" t="s">
        <v>35</v>
      </c>
      <c r="G438" t="s">
        <v>20</v>
      </c>
      <c r="H438">
        <v>16</v>
      </c>
      <c r="I438">
        <v>5600</v>
      </c>
      <c r="J438">
        <v>14329</v>
      </c>
      <c r="K438">
        <v>719.13</v>
      </c>
      <c r="L438" s="3">
        <f t="shared" si="6"/>
        <v>0.12841607142857142</v>
      </c>
    </row>
    <row r="439" spans="1:12" x14ac:dyDescent="0.3">
      <c r="A439" s="5" t="s">
        <v>43</v>
      </c>
      <c r="B439" t="s">
        <v>25</v>
      </c>
      <c r="C439">
        <v>2025</v>
      </c>
      <c r="D439" t="s">
        <v>23</v>
      </c>
      <c r="E439" t="s">
        <v>60</v>
      </c>
      <c r="F439" t="s">
        <v>15</v>
      </c>
      <c r="G439" t="s">
        <v>16</v>
      </c>
      <c r="H439">
        <v>2</v>
      </c>
      <c r="I439">
        <v>1176</v>
      </c>
      <c r="J439">
        <v>16294</v>
      </c>
      <c r="K439">
        <v>272.32</v>
      </c>
      <c r="L439" s="3">
        <f t="shared" si="6"/>
        <v>0.23156462585034013</v>
      </c>
    </row>
    <row r="440" spans="1:12" x14ac:dyDescent="0.3">
      <c r="A440" s="5" t="s">
        <v>293</v>
      </c>
      <c r="B440" t="s">
        <v>48</v>
      </c>
      <c r="C440">
        <v>2025</v>
      </c>
      <c r="D440" t="s">
        <v>32</v>
      </c>
      <c r="E440" t="s">
        <v>49</v>
      </c>
      <c r="F440" t="s">
        <v>35</v>
      </c>
      <c r="G440" t="s">
        <v>20</v>
      </c>
      <c r="H440">
        <v>16</v>
      </c>
      <c r="I440">
        <v>23008</v>
      </c>
      <c r="J440">
        <v>8403</v>
      </c>
      <c r="K440">
        <v>6218.91</v>
      </c>
      <c r="L440" s="3">
        <f t="shared" si="6"/>
        <v>0.27029337621696803</v>
      </c>
    </row>
    <row r="441" spans="1:12" x14ac:dyDescent="0.3">
      <c r="A441" s="5" t="s">
        <v>294</v>
      </c>
      <c r="B441" t="s">
        <v>39</v>
      </c>
      <c r="C441">
        <v>2025</v>
      </c>
      <c r="D441" t="s">
        <v>32</v>
      </c>
      <c r="E441" t="s">
        <v>26</v>
      </c>
      <c r="F441" t="s">
        <v>19</v>
      </c>
      <c r="G441" t="s">
        <v>20</v>
      </c>
      <c r="H441">
        <v>4</v>
      </c>
      <c r="I441">
        <v>5428</v>
      </c>
      <c r="J441">
        <v>11600</v>
      </c>
      <c r="K441">
        <v>1169.43</v>
      </c>
      <c r="L441" s="3">
        <f t="shared" si="6"/>
        <v>0.2154439941046426</v>
      </c>
    </row>
    <row r="442" spans="1:12" x14ac:dyDescent="0.3">
      <c r="A442" s="5" t="s">
        <v>279</v>
      </c>
      <c r="B442" t="s">
        <v>45</v>
      </c>
      <c r="C442">
        <v>2025</v>
      </c>
      <c r="D442" t="s">
        <v>13</v>
      </c>
      <c r="E442" t="s">
        <v>60</v>
      </c>
      <c r="F442" t="s">
        <v>29</v>
      </c>
      <c r="G442" t="s">
        <v>20</v>
      </c>
      <c r="H442">
        <v>8</v>
      </c>
      <c r="I442">
        <v>2720</v>
      </c>
      <c r="J442">
        <v>18835</v>
      </c>
      <c r="K442">
        <v>579.57000000000005</v>
      </c>
      <c r="L442" s="3">
        <f t="shared" si="6"/>
        <v>0.21307720588235296</v>
      </c>
    </row>
    <row r="443" spans="1:12" x14ac:dyDescent="0.3">
      <c r="A443" s="5" t="s">
        <v>86</v>
      </c>
      <c r="B443" t="s">
        <v>25</v>
      </c>
      <c r="C443">
        <v>2025</v>
      </c>
      <c r="D443" t="s">
        <v>32</v>
      </c>
      <c r="E443" t="s">
        <v>60</v>
      </c>
      <c r="F443" t="s">
        <v>29</v>
      </c>
      <c r="G443" t="s">
        <v>20</v>
      </c>
      <c r="H443">
        <v>14</v>
      </c>
      <c r="I443">
        <v>5992</v>
      </c>
      <c r="J443">
        <v>7061</v>
      </c>
      <c r="K443">
        <v>1410.4</v>
      </c>
      <c r="L443" s="3">
        <f t="shared" si="6"/>
        <v>0.23538050734312418</v>
      </c>
    </row>
    <row r="444" spans="1:12" x14ac:dyDescent="0.3">
      <c r="A444" s="5" t="s">
        <v>187</v>
      </c>
      <c r="B444" t="s">
        <v>12</v>
      </c>
      <c r="C444">
        <v>2025</v>
      </c>
      <c r="D444" t="s">
        <v>18</v>
      </c>
      <c r="E444" t="s">
        <v>26</v>
      </c>
      <c r="F444" t="s">
        <v>42</v>
      </c>
      <c r="G444" t="s">
        <v>20</v>
      </c>
      <c r="H444">
        <v>10</v>
      </c>
      <c r="I444">
        <v>2740</v>
      </c>
      <c r="J444">
        <v>5313</v>
      </c>
      <c r="K444">
        <v>592.42999999999995</v>
      </c>
      <c r="L444" s="3">
        <f t="shared" si="6"/>
        <v>0.21621532846715327</v>
      </c>
    </row>
    <row r="445" spans="1:12" x14ac:dyDescent="0.3">
      <c r="A445" s="5" t="s">
        <v>295</v>
      </c>
      <c r="B445" t="s">
        <v>48</v>
      </c>
      <c r="C445">
        <v>2025</v>
      </c>
      <c r="D445" t="s">
        <v>32</v>
      </c>
      <c r="E445" t="s">
        <v>14</v>
      </c>
      <c r="F445" t="s">
        <v>42</v>
      </c>
      <c r="G445" t="s">
        <v>20</v>
      </c>
      <c r="H445">
        <v>3</v>
      </c>
      <c r="I445">
        <v>1488</v>
      </c>
      <c r="J445">
        <v>17566</v>
      </c>
      <c r="K445">
        <v>314.52</v>
      </c>
      <c r="L445" s="3">
        <f t="shared" si="6"/>
        <v>0.21137096774193548</v>
      </c>
    </row>
    <row r="446" spans="1:12" x14ac:dyDescent="0.3">
      <c r="A446" s="5" t="s">
        <v>118</v>
      </c>
      <c r="B446" t="s">
        <v>31</v>
      </c>
      <c r="C446">
        <v>2025</v>
      </c>
      <c r="D446" t="s">
        <v>23</v>
      </c>
      <c r="E446" t="s">
        <v>60</v>
      </c>
      <c r="F446" t="s">
        <v>62</v>
      </c>
      <c r="G446" t="s">
        <v>63</v>
      </c>
      <c r="H446">
        <v>7</v>
      </c>
      <c r="I446">
        <v>1526</v>
      </c>
      <c r="J446">
        <v>10552</v>
      </c>
      <c r="K446">
        <v>457.17</v>
      </c>
      <c r="L446" s="3">
        <f t="shared" si="6"/>
        <v>0.29958715596330276</v>
      </c>
    </row>
    <row r="447" spans="1:12" x14ac:dyDescent="0.3">
      <c r="A447" s="5" t="s">
        <v>44</v>
      </c>
      <c r="B447" t="s">
        <v>45</v>
      </c>
      <c r="C447">
        <v>2025</v>
      </c>
      <c r="D447" t="s">
        <v>32</v>
      </c>
      <c r="E447" t="s">
        <v>60</v>
      </c>
      <c r="F447" t="s">
        <v>42</v>
      </c>
      <c r="G447" t="s">
        <v>20</v>
      </c>
      <c r="H447">
        <v>8</v>
      </c>
      <c r="I447">
        <v>1864</v>
      </c>
      <c r="J447">
        <v>6809</v>
      </c>
      <c r="K447">
        <v>414.96</v>
      </c>
      <c r="L447" s="3">
        <f t="shared" si="6"/>
        <v>0.22261802575107295</v>
      </c>
    </row>
    <row r="448" spans="1:12" x14ac:dyDescent="0.3">
      <c r="A448" s="5" t="s">
        <v>173</v>
      </c>
      <c r="B448" t="s">
        <v>31</v>
      </c>
      <c r="C448">
        <v>2025</v>
      </c>
      <c r="D448" t="s">
        <v>32</v>
      </c>
      <c r="E448" t="s">
        <v>28</v>
      </c>
      <c r="F448" t="s">
        <v>35</v>
      </c>
      <c r="G448" t="s">
        <v>20</v>
      </c>
      <c r="H448">
        <v>4</v>
      </c>
      <c r="I448">
        <v>2760</v>
      </c>
      <c r="J448">
        <v>8610</v>
      </c>
      <c r="K448">
        <v>536.29</v>
      </c>
      <c r="L448" s="3">
        <f t="shared" si="6"/>
        <v>0.19430797101449274</v>
      </c>
    </row>
    <row r="449" spans="1:12" x14ac:dyDescent="0.3">
      <c r="A449" s="5" t="s">
        <v>188</v>
      </c>
      <c r="B449" t="s">
        <v>12</v>
      </c>
      <c r="C449">
        <v>2025</v>
      </c>
      <c r="D449" t="s">
        <v>18</v>
      </c>
      <c r="E449" t="s">
        <v>28</v>
      </c>
      <c r="F449" t="s">
        <v>42</v>
      </c>
      <c r="G449" t="s">
        <v>20</v>
      </c>
      <c r="H449">
        <v>11</v>
      </c>
      <c r="I449">
        <v>7073</v>
      </c>
      <c r="J449">
        <v>18031</v>
      </c>
      <c r="K449">
        <v>1737.88</v>
      </c>
      <c r="L449" s="3">
        <f t="shared" si="6"/>
        <v>0.24570620670154109</v>
      </c>
    </row>
    <row r="450" spans="1:12" x14ac:dyDescent="0.3">
      <c r="A450" s="5" t="s">
        <v>173</v>
      </c>
      <c r="B450" t="s">
        <v>31</v>
      </c>
      <c r="C450">
        <v>2025</v>
      </c>
      <c r="D450" t="s">
        <v>18</v>
      </c>
      <c r="E450" t="s">
        <v>28</v>
      </c>
      <c r="F450" t="s">
        <v>15</v>
      </c>
      <c r="G450" t="s">
        <v>16</v>
      </c>
      <c r="H450">
        <v>10</v>
      </c>
      <c r="I450">
        <v>8160</v>
      </c>
      <c r="J450">
        <v>13574</v>
      </c>
      <c r="K450">
        <v>1686.31</v>
      </c>
      <c r="L450" s="3">
        <f t="shared" si="6"/>
        <v>0.20665563725490196</v>
      </c>
    </row>
    <row r="451" spans="1:12" x14ac:dyDescent="0.3">
      <c r="A451" s="5" t="s">
        <v>276</v>
      </c>
      <c r="B451" t="s">
        <v>45</v>
      </c>
      <c r="C451">
        <v>2025</v>
      </c>
      <c r="D451" t="s">
        <v>23</v>
      </c>
      <c r="E451" t="s">
        <v>26</v>
      </c>
      <c r="F451" t="s">
        <v>15</v>
      </c>
      <c r="G451" t="s">
        <v>16</v>
      </c>
      <c r="H451">
        <v>15</v>
      </c>
      <c r="I451">
        <v>4320</v>
      </c>
      <c r="J451">
        <v>6691</v>
      </c>
      <c r="K451">
        <v>1142.03</v>
      </c>
      <c r="L451" s="3">
        <f t="shared" ref="L451:L514" si="7">K451/I451</f>
        <v>0.26435879629629627</v>
      </c>
    </row>
    <row r="452" spans="1:12" x14ac:dyDescent="0.3">
      <c r="A452" s="5" t="s">
        <v>170</v>
      </c>
      <c r="B452" t="s">
        <v>48</v>
      </c>
      <c r="C452">
        <v>2025</v>
      </c>
      <c r="D452" t="s">
        <v>18</v>
      </c>
      <c r="E452" t="s">
        <v>28</v>
      </c>
      <c r="F452" t="s">
        <v>35</v>
      </c>
      <c r="G452" t="s">
        <v>20</v>
      </c>
      <c r="H452">
        <v>3</v>
      </c>
      <c r="I452">
        <v>3951</v>
      </c>
      <c r="J452">
        <v>9198</v>
      </c>
      <c r="K452">
        <v>719.45</v>
      </c>
      <c r="L452" s="3">
        <f t="shared" si="7"/>
        <v>0.18209314097696785</v>
      </c>
    </row>
    <row r="453" spans="1:12" x14ac:dyDescent="0.3">
      <c r="A453" s="5" t="s">
        <v>52</v>
      </c>
      <c r="B453" t="s">
        <v>39</v>
      </c>
      <c r="C453">
        <v>2025</v>
      </c>
      <c r="D453" t="s">
        <v>18</v>
      </c>
      <c r="E453" t="s">
        <v>26</v>
      </c>
      <c r="F453" t="s">
        <v>42</v>
      </c>
      <c r="G453" t="s">
        <v>20</v>
      </c>
      <c r="H453">
        <v>17</v>
      </c>
      <c r="I453">
        <v>22440</v>
      </c>
      <c r="J453">
        <v>5716</v>
      </c>
      <c r="K453">
        <v>3232.93</v>
      </c>
      <c r="L453" s="3">
        <f t="shared" si="7"/>
        <v>0.14406996434937611</v>
      </c>
    </row>
    <row r="454" spans="1:12" x14ac:dyDescent="0.3">
      <c r="A454" s="5" t="s">
        <v>96</v>
      </c>
      <c r="B454" t="s">
        <v>57</v>
      </c>
      <c r="C454">
        <v>2025</v>
      </c>
      <c r="D454" t="s">
        <v>18</v>
      </c>
      <c r="E454" t="s">
        <v>49</v>
      </c>
      <c r="F454" t="s">
        <v>35</v>
      </c>
      <c r="G454" t="s">
        <v>20</v>
      </c>
      <c r="H454">
        <v>1</v>
      </c>
      <c r="I454">
        <v>800</v>
      </c>
      <c r="J454">
        <v>19098</v>
      </c>
      <c r="K454">
        <v>202.98</v>
      </c>
      <c r="L454" s="3">
        <f t="shared" si="7"/>
        <v>0.25372499999999998</v>
      </c>
    </row>
    <row r="455" spans="1:12" x14ac:dyDescent="0.3">
      <c r="A455" s="5" t="s">
        <v>296</v>
      </c>
      <c r="B455" t="s">
        <v>57</v>
      </c>
      <c r="C455">
        <v>2025</v>
      </c>
      <c r="D455" t="s">
        <v>23</v>
      </c>
      <c r="E455" t="s">
        <v>14</v>
      </c>
      <c r="F455" t="s">
        <v>29</v>
      </c>
      <c r="G455" t="s">
        <v>20</v>
      </c>
      <c r="H455">
        <v>14</v>
      </c>
      <c r="I455">
        <v>1764</v>
      </c>
      <c r="J455">
        <v>15113</v>
      </c>
      <c r="K455">
        <v>325.77</v>
      </c>
      <c r="L455" s="3">
        <f t="shared" si="7"/>
        <v>0.1846768707482993</v>
      </c>
    </row>
    <row r="456" spans="1:12" x14ac:dyDescent="0.3">
      <c r="A456" s="5" t="s">
        <v>27</v>
      </c>
      <c r="B456" t="s">
        <v>22</v>
      </c>
      <c r="C456">
        <v>2025</v>
      </c>
      <c r="D456" t="s">
        <v>18</v>
      </c>
      <c r="E456" t="s">
        <v>49</v>
      </c>
      <c r="F456" t="s">
        <v>42</v>
      </c>
      <c r="G456" t="s">
        <v>20</v>
      </c>
      <c r="H456">
        <v>3</v>
      </c>
      <c r="I456">
        <v>1818</v>
      </c>
      <c r="J456">
        <v>12249</v>
      </c>
      <c r="K456">
        <v>350.37</v>
      </c>
      <c r="L456" s="3">
        <f t="shared" si="7"/>
        <v>0.19272277227722773</v>
      </c>
    </row>
    <row r="457" spans="1:12" x14ac:dyDescent="0.3">
      <c r="A457" s="5" t="s">
        <v>144</v>
      </c>
      <c r="B457" t="s">
        <v>12</v>
      </c>
      <c r="C457">
        <v>2025</v>
      </c>
      <c r="D457" t="s">
        <v>32</v>
      </c>
      <c r="E457" t="s">
        <v>26</v>
      </c>
      <c r="F457" t="s">
        <v>35</v>
      </c>
      <c r="G457" t="s">
        <v>20</v>
      </c>
      <c r="H457">
        <v>17</v>
      </c>
      <c r="I457">
        <v>16269</v>
      </c>
      <c r="J457">
        <v>18179</v>
      </c>
      <c r="K457">
        <v>3949.34</v>
      </c>
      <c r="L457" s="3">
        <f t="shared" si="7"/>
        <v>0.24275247403036451</v>
      </c>
    </row>
    <row r="458" spans="1:12" x14ac:dyDescent="0.3">
      <c r="A458" s="5" t="s">
        <v>297</v>
      </c>
      <c r="B458" t="s">
        <v>22</v>
      </c>
      <c r="C458">
        <v>2025</v>
      </c>
      <c r="D458" t="s">
        <v>18</v>
      </c>
      <c r="E458" t="s">
        <v>60</v>
      </c>
      <c r="F458" t="s">
        <v>15</v>
      </c>
      <c r="G458" t="s">
        <v>16</v>
      </c>
      <c r="H458">
        <v>17</v>
      </c>
      <c r="I458">
        <v>3927</v>
      </c>
      <c r="J458">
        <v>17691</v>
      </c>
      <c r="K458">
        <v>1174.95</v>
      </c>
      <c r="L458" s="3">
        <f t="shared" si="7"/>
        <v>0.29919786096256684</v>
      </c>
    </row>
    <row r="459" spans="1:12" x14ac:dyDescent="0.3">
      <c r="A459" s="5" t="s">
        <v>255</v>
      </c>
      <c r="B459" t="s">
        <v>48</v>
      </c>
      <c r="C459">
        <v>2025</v>
      </c>
      <c r="D459" t="s">
        <v>18</v>
      </c>
      <c r="E459" t="s">
        <v>26</v>
      </c>
      <c r="F459" t="s">
        <v>35</v>
      </c>
      <c r="G459" t="s">
        <v>20</v>
      </c>
      <c r="H459">
        <v>16</v>
      </c>
      <c r="I459">
        <v>7616</v>
      </c>
      <c r="J459">
        <v>15946</v>
      </c>
      <c r="K459">
        <v>1223.53</v>
      </c>
      <c r="L459" s="3">
        <f t="shared" si="7"/>
        <v>0.16065257352941176</v>
      </c>
    </row>
    <row r="460" spans="1:12" x14ac:dyDescent="0.3">
      <c r="A460" s="5" t="s">
        <v>152</v>
      </c>
      <c r="B460" t="s">
        <v>31</v>
      </c>
      <c r="C460">
        <v>2025</v>
      </c>
      <c r="D460" t="s">
        <v>18</v>
      </c>
      <c r="E460" t="s">
        <v>14</v>
      </c>
      <c r="F460" t="s">
        <v>42</v>
      </c>
      <c r="G460" t="s">
        <v>20</v>
      </c>
      <c r="H460">
        <v>10</v>
      </c>
      <c r="I460">
        <v>12830</v>
      </c>
      <c r="J460">
        <v>16722</v>
      </c>
      <c r="K460">
        <v>3650.24</v>
      </c>
      <c r="L460" s="3">
        <f t="shared" si="7"/>
        <v>0.2845081839438815</v>
      </c>
    </row>
    <row r="461" spans="1:12" x14ac:dyDescent="0.3">
      <c r="A461" s="5" t="s">
        <v>298</v>
      </c>
      <c r="B461" t="s">
        <v>85</v>
      </c>
      <c r="C461">
        <v>2025</v>
      </c>
      <c r="D461" t="s">
        <v>23</v>
      </c>
      <c r="E461" t="s">
        <v>14</v>
      </c>
      <c r="F461" t="s">
        <v>62</v>
      </c>
      <c r="G461" t="s">
        <v>63</v>
      </c>
      <c r="H461">
        <v>7</v>
      </c>
      <c r="I461">
        <v>1638</v>
      </c>
      <c r="J461">
        <v>17813</v>
      </c>
      <c r="K461">
        <v>470.93</v>
      </c>
      <c r="L461" s="3">
        <f t="shared" si="7"/>
        <v>0.28750305250305253</v>
      </c>
    </row>
    <row r="462" spans="1:12" x14ac:dyDescent="0.3">
      <c r="A462" s="5" t="s">
        <v>281</v>
      </c>
      <c r="B462" t="s">
        <v>41</v>
      </c>
      <c r="C462">
        <v>2025</v>
      </c>
      <c r="D462" t="s">
        <v>32</v>
      </c>
      <c r="E462" t="s">
        <v>28</v>
      </c>
      <c r="F462" t="s">
        <v>19</v>
      </c>
      <c r="G462" t="s">
        <v>20</v>
      </c>
      <c r="H462">
        <v>20</v>
      </c>
      <c r="I462">
        <v>7740</v>
      </c>
      <c r="J462">
        <v>16488</v>
      </c>
      <c r="K462">
        <v>1425.76</v>
      </c>
      <c r="L462" s="3">
        <f t="shared" si="7"/>
        <v>0.18420671834625324</v>
      </c>
    </row>
    <row r="463" spans="1:12" x14ac:dyDescent="0.3">
      <c r="A463" s="5" t="s">
        <v>299</v>
      </c>
      <c r="B463" t="s">
        <v>39</v>
      </c>
      <c r="C463">
        <v>2025</v>
      </c>
      <c r="D463" t="s">
        <v>32</v>
      </c>
      <c r="E463" t="s">
        <v>26</v>
      </c>
      <c r="F463" t="s">
        <v>19</v>
      </c>
      <c r="G463" t="s">
        <v>20</v>
      </c>
      <c r="H463">
        <v>7</v>
      </c>
      <c r="I463">
        <v>2772</v>
      </c>
      <c r="J463">
        <v>16460</v>
      </c>
      <c r="K463">
        <v>380.59</v>
      </c>
      <c r="L463" s="3">
        <f t="shared" si="7"/>
        <v>0.13729797979797978</v>
      </c>
    </row>
    <row r="464" spans="1:12" x14ac:dyDescent="0.3">
      <c r="A464" s="5" t="s">
        <v>140</v>
      </c>
      <c r="B464" t="s">
        <v>39</v>
      </c>
      <c r="C464">
        <v>2025</v>
      </c>
      <c r="D464" t="s">
        <v>18</v>
      </c>
      <c r="E464" t="s">
        <v>28</v>
      </c>
      <c r="F464" t="s">
        <v>19</v>
      </c>
      <c r="G464" t="s">
        <v>20</v>
      </c>
      <c r="H464">
        <v>12</v>
      </c>
      <c r="I464">
        <v>4524</v>
      </c>
      <c r="J464">
        <v>6635</v>
      </c>
      <c r="K464">
        <v>628.59</v>
      </c>
      <c r="L464" s="3">
        <f t="shared" si="7"/>
        <v>0.13894562334217508</v>
      </c>
    </row>
    <row r="465" spans="1:12" x14ac:dyDescent="0.3">
      <c r="A465" s="5" t="s">
        <v>300</v>
      </c>
      <c r="B465" t="s">
        <v>34</v>
      </c>
      <c r="C465">
        <v>2025</v>
      </c>
      <c r="D465" t="s">
        <v>23</v>
      </c>
      <c r="E465" t="s">
        <v>49</v>
      </c>
      <c r="F465" t="s">
        <v>19</v>
      </c>
      <c r="G465" t="s">
        <v>20</v>
      </c>
      <c r="H465">
        <v>17</v>
      </c>
      <c r="I465">
        <v>17527</v>
      </c>
      <c r="J465">
        <v>18690</v>
      </c>
      <c r="K465">
        <v>4437.4799999999996</v>
      </c>
      <c r="L465" s="3">
        <f t="shared" si="7"/>
        <v>0.25317966565869798</v>
      </c>
    </row>
    <row r="466" spans="1:12" x14ac:dyDescent="0.3">
      <c r="A466" s="5" t="s">
        <v>211</v>
      </c>
      <c r="B466" t="s">
        <v>12</v>
      </c>
      <c r="C466">
        <v>2025</v>
      </c>
      <c r="D466" t="s">
        <v>23</v>
      </c>
      <c r="E466" t="s">
        <v>49</v>
      </c>
      <c r="F466" t="s">
        <v>42</v>
      </c>
      <c r="G466" t="s">
        <v>20</v>
      </c>
      <c r="H466">
        <v>3</v>
      </c>
      <c r="I466">
        <v>3738</v>
      </c>
      <c r="J466">
        <v>19625</v>
      </c>
      <c r="K466">
        <v>789.32</v>
      </c>
      <c r="L466" s="3">
        <f t="shared" si="7"/>
        <v>0.2111610486891386</v>
      </c>
    </row>
    <row r="467" spans="1:12" x14ac:dyDescent="0.3">
      <c r="A467" s="5" t="s">
        <v>53</v>
      </c>
      <c r="B467" t="s">
        <v>39</v>
      </c>
      <c r="C467">
        <v>2025</v>
      </c>
      <c r="D467" t="s">
        <v>32</v>
      </c>
      <c r="E467" t="s">
        <v>60</v>
      </c>
      <c r="F467" t="s">
        <v>29</v>
      </c>
      <c r="G467" t="s">
        <v>20</v>
      </c>
      <c r="H467">
        <v>7</v>
      </c>
      <c r="I467">
        <v>1897</v>
      </c>
      <c r="J467">
        <v>6748</v>
      </c>
      <c r="K467">
        <v>367.59</v>
      </c>
      <c r="L467" s="3">
        <f t="shared" si="7"/>
        <v>0.19377438060094884</v>
      </c>
    </row>
    <row r="468" spans="1:12" x14ac:dyDescent="0.3">
      <c r="A468" s="5" t="s">
        <v>301</v>
      </c>
      <c r="B468" t="s">
        <v>85</v>
      </c>
      <c r="C468">
        <v>2025</v>
      </c>
      <c r="D468" t="s">
        <v>13</v>
      </c>
      <c r="E468" t="s">
        <v>60</v>
      </c>
      <c r="F468" t="s">
        <v>42</v>
      </c>
      <c r="G468" t="s">
        <v>20</v>
      </c>
      <c r="H468">
        <v>13</v>
      </c>
      <c r="I468">
        <v>12116</v>
      </c>
      <c r="J468">
        <v>19691</v>
      </c>
      <c r="K468">
        <v>2536.09</v>
      </c>
      <c r="L468" s="3">
        <f t="shared" si="7"/>
        <v>0.2093174314955431</v>
      </c>
    </row>
    <row r="469" spans="1:12" x14ac:dyDescent="0.3">
      <c r="A469" s="5" t="s">
        <v>277</v>
      </c>
      <c r="B469" t="s">
        <v>39</v>
      </c>
      <c r="C469">
        <v>2025</v>
      </c>
      <c r="D469" t="s">
        <v>23</v>
      </c>
      <c r="E469" t="s">
        <v>28</v>
      </c>
      <c r="F469" t="s">
        <v>42</v>
      </c>
      <c r="G469" t="s">
        <v>20</v>
      </c>
      <c r="H469">
        <v>8</v>
      </c>
      <c r="I469">
        <v>10928</v>
      </c>
      <c r="J469">
        <v>9227</v>
      </c>
      <c r="K469">
        <v>1722.13</v>
      </c>
      <c r="L469" s="3">
        <f t="shared" si="7"/>
        <v>0.15758876281112738</v>
      </c>
    </row>
    <row r="470" spans="1:12" x14ac:dyDescent="0.3">
      <c r="A470" s="5" t="s">
        <v>284</v>
      </c>
      <c r="B470" t="s">
        <v>39</v>
      </c>
      <c r="C470">
        <v>2025</v>
      </c>
      <c r="D470" t="s">
        <v>32</v>
      </c>
      <c r="E470" t="s">
        <v>28</v>
      </c>
      <c r="F470" t="s">
        <v>35</v>
      </c>
      <c r="G470" t="s">
        <v>20</v>
      </c>
      <c r="H470">
        <v>8</v>
      </c>
      <c r="I470">
        <v>11952</v>
      </c>
      <c r="J470">
        <v>5442</v>
      </c>
      <c r="K470">
        <v>1682.68</v>
      </c>
      <c r="L470" s="3">
        <f t="shared" si="7"/>
        <v>0.14078647925033469</v>
      </c>
    </row>
    <row r="471" spans="1:12" x14ac:dyDescent="0.3">
      <c r="A471" s="5" t="s">
        <v>302</v>
      </c>
      <c r="B471" t="s">
        <v>25</v>
      </c>
      <c r="C471">
        <v>2025</v>
      </c>
      <c r="D471" t="s">
        <v>13</v>
      </c>
      <c r="E471" t="s">
        <v>60</v>
      </c>
      <c r="F471" t="s">
        <v>62</v>
      </c>
      <c r="G471" t="s">
        <v>63</v>
      </c>
      <c r="H471">
        <v>5</v>
      </c>
      <c r="I471">
        <v>7160</v>
      </c>
      <c r="J471">
        <v>18155</v>
      </c>
      <c r="K471">
        <v>1487.42</v>
      </c>
      <c r="L471" s="3">
        <f t="shared" si="7"/>
        <v>0.20774022346368717</v>
      </c>
    </row>
    <row r="472" spans="1:12" x14ac:dyDescent="0.3">
      <c r="A472" s="5" t="s">
        <v>167</v>
      </c>
      <c r="B472" t="s">
        <v>45</v>
      </c>
      <c r="C472">
        <v>2025</v>
      </c>
      <c r="D472" t="s">
        <v>23</v>
      </c>
      <c r="E472" t="s">
        <v>14</v>
      </c>
      <c r="F472" t="s">
        <v>19</v>
      </c>
      <c r="G472" t="s">
        <v>20</v>
      </c>
      <c r="H472">
        <v>16</v>
      </c>
      <c r="I472">
        <v>18784</v>
      </c>
      <c r="J472">
        <v>14238</v>
      </c>
      <c r="K472">
        <v>2824.52</v>
      </c>
      <c r="L472" s="3">
        <f t="shared" si="7"/>
        <v>0.150368398637138</v>
      </c>
    </row>
    <row r="473" spans="1:12" x14ac:dyDescent="0.3">
      <c r="A473" s="5" t="s">
        <v>303</v>
      </c>
      <c r="B473" t="s">
        <v>22</v>
      </c>
      <c r="C473">
        <v>2025</v>
      </c>
      <c r="D473" t="s">
        <v>13</v>
      </c>
      <c r="E473" t="s">
        <v>49</v>
      </c>
      <c r="F473" t="s">
        <v>35</v>
      </c>
      <c r="G473" t="s">
        <v>20</v>
      </c>
      <c r="H473">
        <v>12</v>
      </c>
      <c r="I473">
        <v>2100</v>
      </c>
      <c r="J473">
        <v>15884</v>
      </c>
      <c r="K473">
        <v>377.37</v>
      </c>
      <c r="L473" s="3">
        <f t="shared" si="7"/>
        <v>0.1797</v>
      </c>
    </row>
    <row r="474" spans="1:12" x14ac:dyDescent="0.3">
      <c r="A474" s="5" t="s">
        <v>217</v>
      </c>
      <c r="B474" t="s">
        <v>37</v>
      </c>
      <c r="C474">
        <v>2025</v>
      </c>
      <c r="D474" t="s">
        <v>23</v>
      </c>
      <c r="E474" t="s">
        <v>14</v>
      </c>
      <c r="F474" t="s">
        <v>35</v>
      </c>
      <c r="G474" t="s">
        <v>20</v>
      </c>
      <c r="H474">
        <v>7</v>
      </c>
      <c r="I474">
        <v>8351</v>
      </c>
      <c r="J474">
        <v>7219</v>
      </c>
      <c r="K474">
        <v>1594.35</v>
      </c>
      <c r="L474" s="3">
        <f t="shared" si="7"/>
        <v>0.19091725541851273</v>
      </c>
    </row>
    <row r="475" spans="1:12" x14ac:dyDescent="0.3">
      <c r="A475" s="5" t="s">
        <v>96</v>
      </c>
      <c r="B475" t="s">
        <v>57</v>
      </c>
      <c r="C475">
        <v>2025</v>
      </c>
      <c r="D475" t="s">
        <v>23</v>
      </c>
      <c r="E475" t="s">
        <v>28</v>
      </c>
      <c r="F475" t="s">
        <v>15</v>
      </c>
      <c r="G475" t="s">
        <v>16</v>
      </c>
      <c r="H475">
        <v>19</v>
      </c>
      <c r="I475">
        <v>21052</v>
      </c>
      <c r="J475">
        <v>16959</v>
      </c>
      <c r="K475">
        <v>3219.49</v>
      </c>
      <c r="L475" s="3">
        <f t="shared" si="7"/>
        <v>0.15293036291088732</v>
      </c>
    </row>
    <row r="476" spans="1:12" x14ac:dyDescent="0.3">
      <c r="A476" s="5" t="s">
        <v>126</v>
      </c>
      <c r="B476" t="s">
        <v>34</v>
      </c>
      <c r="C476">
        <v>2025</v>
      </c>
      <c r="D476" t="s">
        <v>18</v>
      </c>
      <c r="E476" t="s">
        <v>49</v>
      </c>
      <c r="F476" t="s">
        <v>29</v>
      </c>
      <c r="G476" t="s">
        <v>20</v>
      </c>
      <c r="H476">
        <v>12</v>
      </c>
      <c r="I476">
        <v>15348</v>
      </c>
      <c r="J476">
        <v>15344</v>
      </c>
      <c r="K476">
        <v>4249.0200000000004</v>
      </c>
      <c r="L476" s="3">
        <f t="shared" si="7"/>
        <v>0.27684519155590309</v>
      </c>
    </row>
    <row r="477" spans="1:12" x14ac:dyDescent="0.3">
      <c r="A477" s="5" t="s">
        <v>96</v>
      </c>
      <c r="B477" t="s">
        <v>57</v>
      </c>
      <c r="C477">
        <v>2025</v>
      </c>
      <c r="D477" t="s">
        <v>18</v>
      </c>
      <c r="E477" t="s">
        <v>49</v>
      </c>
      <c r="F477" t="s">
        <v>19</v>
      </c>
      <c r="G477" t="s">
        <v>20</v>
      </c>
      <c r="H477">
        <v>19</v>
      </c>
      <c r="I477">
        <v>15637</v>
      </c>
      <c r="J477">
        <v>14138</v>
      </c>
      <c r="K477">
        <v>4069.27</v>
      </c>
      <c r="L477" s="3">
        <f t="shared" si="7"/>
        <v>0.26023342073287714</v>
      </c>
    </row>
    <row r="478" spans="1:12" x14ac:dyDescent="0.3">
      <c r="A478" s="5" t="s">
        <v>304</v>
      </c>
      <c r="B478" t="s">
        <v>45</v>
      </c>
      <c r="C478">
        <v>2025</v>
      </c>
      <c r="D478" t="s">
        <v>13</v>
      </c>
      <c r="E478" t="s">
        <v>26</v>
      </c>
      <c r="F478" t="s">
        <v>15</v>
      </c>
      <c r="G478" t="s">
        <v>16</v>
      </c>
      <c r="H478">
        <v>5</v>
      </c>
      <c r="I478">
        <v>6235</v>
      </c>
      <c r="J478">
        <v>8787</v>
      </c>
      <c r="K478">
        <v>1739.88</v>
      </c>
      <c r="L478" s="3">
        <f t="shared" si="7"/>
        <v>0.27905052125100244</v>
      </c>
    </row>
    <row r="479" spans="1:12" x14ac:dyDescent="0.3">
      <c r="A479" s="5" t="s">
        <v>149</v>
      </c>
      <c r="B479" t="s">
        <v>41</v>
      </c>
      <c r="C479">
        <v>2025</v>
      </c>
      <c r="D479" t="s">
        <v>18</v>
      </c>
      <c r="E479" t="s">
        <v>49</v>
      </c>
      <c r="F479" t="s">
        <v>35</v>
      </c>
      <c r="G479" t="s">
        <v>20</v>
      </c>
      <c r="H479">
        <v>16</v>
      </c>
      <c r="I479">
        <v>7872</v>
      </c>
      <c r="J479">
        <v>10149</v>
      </c>
      <c r="K479">
        <v>1112.28</v>
      </c>
      <c r="L479" s="3">
        <f t="shared" si="7"/>
        <v>0.14129573170731707</v>
      </c>
    </row>
    <row r="480" spans="1:12" x14ac:dyDescent="0.3">
      <c r="A480" s="5" t="s">
        <v>153</v>
      </c>
      <c r="B480" t="s">
        <v>31</v>
      </c>
      <c r="C480">
        <v>2025</v>
      </c>
      <c r="D480" t="s">
        <v>23</v>
      </c>
      <c r="E480" t="s">
        <v>60</v>
      </c>
      <c r="F480" t="s">
        <v>42</v>
      </c>
      <c r="G480" t="s">
        <v>20</v>
      </c>
      <c r="H480">
        <v>11</v>
      </c>
      <c r="I480">
        <v>8723</v>
      </c>
      <c r="J480">
        <v>15162</v>
      </c>
      <c r="K480">
        <v>2363.4299999999998</v>
      </c>
      <c r="L480" s="3">
        <f t="shared" si="7"/>
        <v>0.27094233635217241</v>
      </c>
    </row>
    <row r="481" spans="1:12" x14ac:dyDescent="0.3">
      <c r="A481" s="5" t="s">
        <v>305</v>
      </c>
      <c r="B481" t="s">
        <v>37</v>
      </c>
      <c r="C481">
        <v>2025</v>
      </c>
      <c r="D481" t="s">
        <v>23</v>
      </c>
      <c r="E481" t="s">
        <v>60</v>
      </c>
      <c r="F481" t="s">
        <v>29</v>
      </c>
      <c r="G481" t="s">
        <v>20</v>
      </c>
      <c r="H481">
        <v>12</v>
      </c>
      <c r="I481">
        <v>9048</v>
      </c>
      <c r="J481">
        <v>5060</v>
      </c>
      <c r="K481">
        <v>1198.81</v>
      </c>
      <c r="L481" s="3">
        <f t="shared" si="7"/>
        <v>0.13249447391688771</v>
      </c>
    </row>
    <row r="482" spans="1:12" x14ac:dyDescent="0.3">
      <c r="A482" s="5" t="s">
        <v>151</v>
      </c>
      <c r="B482" t="s">
        <v>57</v>
      </c>
      <c r="C482">
        <v>2025</v>
      </c>
      <c r="D482" t="s">
        <v>13</v>
      </c>
      <c r="E482" t="s">
        <v>26</v>
      </c>
      <c r="F482" t="s">
        <v>35</v>
      </c>
      <c r="G482" t="s">
        <v>20</v>
      </c>
      <c r="H482">
        <v>20</v>
      </c>
      <c r="I482">
        <v>13300</v>
      </c>
      <c r="J482">
        <v>16068</v>
      </c>
      <c r="K482">
        <v>3590.5</v>
      </c>
      <c r="L482" s="3">
        <f t="shared" si="7"/>
        <v>0.26996240601503757</v>
      </c>
    </row>
    <row r="483" spans="1:12" x14ac:dyDescent="0.3">
      <c r="A483" s="5" t="s">
        <v>306</v>
      </c>
      <c r="B483" t="s">
        <v>37</v>
      </c>
      <c r="C483">
        <v>2025</v>
      </c>
      <c r="D483" t="s">
        <v>18</v>
      </c>
      <c r="E483" t="s">
        <v>28</v>
      </c>
      <c r="F483" t="s">
        <v>35</v>
      </c>
      <c r="G483" t="s">
        <v>20</v>
      </c>
      <c r="H483">
        <v>18</v>
      </c>
      <c r="I483">
        <v>3186</v>
      </c>
      <c r="J483">
        <v>19240</v>
      </c>
      <c r="K483">
        <v>349.22</v>
      </c>
      <c r="L483" s="3">
        <f t="shared" si="7"/>
        <v>0.10961079723791589</v>
      </c>
    </row>
    <row r="484" spans="1:12" x14ac:dyDescent="0.3">
      <c r="A484" s="5" t="s">
        <v>254</v>
      </c>
      <c r="B484" t="s">
        <v>39</v>
      </c>
      <c r="C484">
        <v>2025</v>
      </c>
      <c r="D484" t="s">
        <v>13</v>
      </c>
      <c r="E484" t="s">
        <v>28</v>
      </c>
      <c r="F484" t="s">
        <v>62</v>
      </c>
      <c r="G484" t="s">
        <v>63</v>
      </c>
      <c r="H484">
        <v>8</v>
      </c>
      <c r="I484">
        <v>11536</v>
      </c>
      <c r="J484">
        <v>9310</v>
      </c>
      <c r="K484">
        <v>2577.8200000000002</v>
      </c>
      <c r="L484" s="3">
        <f t="shared" si="7"/>
        <v>0.22345873786407769</v>
      </c>
    </row>
    <row r="485" spans="1:12" x14ac:dyDescent="0.3">
      <c r="A485" s="5" t="s">
        <v>307</v>
      </c>
      <c r="B485" t="s">
        <v>31</v>
      </c>
      <c r="C485">
        <v>2025</v>
      </c>
      <c r="D485" t="s">
        <v>32</v>
      </c>
      <c r="E485" t="s">
        <v>60</v>
      </c>
      <c r="F485" t="s">
        <v>29</v>
      </c>
      <c r="G485" t="s">
        <v>20</v>
      </c>
      <c r="H485">
        <v>8</v>
      </c>
      <c r="I485">
        <v>4928</v>
      </c>
      <c r="J485">
        <v>7915</v>
      </c>
      <c r="K485">
        <v>606.19000000000005</v>
      </c>
      <c r="L485" s="3">
        <f t="shared" si="7"/>
        <v>0.12300933441558443</v>
      </c>
    </row>
    <row r="486" spans="1:12" x14ac:dyDescent="0.3">
      <c r="A486" s="5" t="s">
        <v>308</v>
      </c>
      <c r="B486" t="s">
        <v>22</v>
      </c>
      <c r="C486">
        <v>2025</v>
      </c>
      <c r="D486" t="s">
        <v>32</v>
      </c>
      <c r="E486" t="s">
        <v>14</v>
      </c>
      <c r="F486" t="s">
        <v>19</v>
      </c>
      <c r="G486" t="s">
        <v>20</v>
      </c>
      <c r="H486">
        <v>12</v>
      </c>
      <c r="I486">
        <v>14664</v>
      </c>
      <c r="J486">
        <v>7115</v>
      </c>
      <c r="K486">
        <v>1613.89</v>
      </c>
      <c r="L486" s="3">
        <f t="shared" si="7"/>
        <v>0.11005796508456084</v>
      </c>
    </row>
    <row r="487" spans="1:12" x14ac:dyDescent="0.3">
      <c r="A487" s="5" t="s">
        <v>309</v>
      </c>
      <c r="B487" t="s">
        <v>31</v>
      </c>
      <c r="C487">
        <v>2025</v>
      </c>
      <c r="D487" t="s">
        <v>18</v>
      </c>
      <c r="E487" t="s">
        <v>60</v>
      </c>
      <c r="F487" t="s">
        <v>19</v>
      </c>
      <c r="G487" t="s">
        <v>20</v>
      </c>
      <c r="H487">
        <v>13</v>
      </c>
      <c r="I487">
        <v>18577</v>
      </c>
      <c r="J487">
        <v>15996</v>
      </c>
      <c r="K487">
        <v>4559.53</v>
      </c>
      <c r="L487" s="3">
        <f t="shared" si="7"/>
        <v>0.24543952198955696</v>
      </c>
    </row>
    <row r="488" spans="1:12" x14ac:dyDescent="0.3">
      <c r="A488" s="5" t="s">
        <v>307</v>
      </c>
      <c r="B488" t="s">
        <v>31</v>
      </c>
      <c r="C488">
        <v>2025</v>
      </c>
      <c r="D488" t="s">
        <v>23</v>
      </c>
      <c r="E488" t="s">
        <v>60</v>
      </c>
      <c r="F488" t="s">
        <v>19</v>
      </c>
      <c r="G488" t="s">
        <v>20</v>
      </c>
      <c r="H488">
        <v>12</v>
      </c>
      <c r="I488">
        <v>7992</v>
      </c>
      <c r="J488">
        <v>10351</v>
      </c>
      <c r="K488">
        <v>2052.7399999999998</v>
      </c>
      <c r="L488" s="3">
        <f t="shared" si="7"/>
        <v>0.25684934934934933</v>
      </c>
    </row>
    <row r="489" spans="1:12" x14ac:dyDescent="0.3">
      <c r="A489" s="5" t="s">
        <v>248</v>
      </c>
      <c r="B489" t="s">
        <v>41</v>
      </c>
      <c r="C489">
        <v>2025</v>
      </c>
      <c r="D489" t="s">
        <v>13</v>
      </c>
      <c r="E489" t="s">
        <v>26</v>
      </c>
      <c r="F489" t="s">
        <v>15</v>
      </c>
      <c r="G489" t="s">
        <v>16</v>
      </c>
      <c r="H489">
        <v>18</v>
      </c>
      <c r="I489">
        <v>19872</v>
      </c>
      <c r="J489">
        <v>10048</v>
      </c>
      <c r="K489">
        <v>4031.22</v>
      </c>
      <c r="L489" s="3">
        <f t="shared" si="7"/>
        <v>0.2028592995169082</v>
      </c>
    </row>
    <row r="490" spans="1:12" x14ac:dyDescent="0.3">
      <c r="A490" s="5" t="s">
        <v>262</v>
      </c>
      <c r="B490" t="s">
        <v>31</v>
      </c>
      <c r="C490">
        <v>2025</v>
      </c>
      <c r="D490" t="s">
        <v>13</v>
      </c>
      <c r="E490" t="s">
        <v>14</v>
      </c>
      <c r="F490" t="s">
        <v>29</v>
      </c>
      <c r="G490" t="s">
        <v>20</v>
      </c>
      <c r="H490">
        <v>15</v>
      </c>
      <c r="I490">
        <v>8880</v>
      </c>
      <c r="J490">
        <v>8355</v>
      </c>
      <c r="K490">
        <v>1867.21</v>
      </c>
      <c r="L490" s="3">
        <f t="shared" si="7"/>
        <v>0.21027139639639639</v>
      </c>
    </row>
    <row r="491" spans="1:12" x14ac:dyDescent="0.3">
      <c r="A491" s="5" t="s">
        <v>305</v>
      </c>
      <c r="B491" t="s">
        <v>37</v>
      </c>
      <c r="C491">
        <v>2025</v>
      </c>
      <c r="D491" t="s">
        <v>13</v>
      </c>
      <c r="E491" t="s">
        <v>26</v>
      </c>
      <c r="F491" t="s">
        <v>19</v>
      </c>
      <c r="G491" t="s">
        <v>20</v>
      </c>
      <c r="H491">
        <v>19</v>
      </c>
      <c r="I491">
        <v>13376</v>
      </c>
      <c r="J491">
        <v>15652</v>
      </c>
      <c r="K491">
        <v>2426.5</v>
      </c>
      <c r="L491" s="3">
        <f t="shared" si="7"/>
        <v>0.1814069976076555</v>
      </c>
    </row>
    <row r="492" spans="1:12" x14ac:dyDescent="0.3">
      <c r="A492" s="5" t="s">
        <v>227</v>
      </c>
      <c r="B492" t="s">
        <v>85</v>
      </c>
      <c r="C492">
        <v>2025</v>
      </c>
      <c r="D492" t="s">
        <v>18</v>
      </c>
      <c r="E492" t="s">
        <v>28</v>
      </c>
      <c r="F492" t="s">
        <v>29</v>
      </c>
      <c r="G492" t="s">
        <v>20</v>
      </c>
      <c r="H492">
        <v>10</v>
      </c>
      <c r="I492">
        <v>1120</v>
      </c>
      <c r="J492">
        <v>18400</v>
      </c>
      <c r="K492">
        <v>310.68</v>
      </c>
      <c r="L492" s="3">
        <f t="shared" si="7"/>
        <v>0.27739285714285716</v>
      </c>
    </row>
    <row r="493" spans="1:12" x14ac:dyDescent="0.3">
      <c r="A493" s="5" t="s">
        <v>73</v>
      </c>
      <c r="B493" t="s">
        <v>48</v>
      </c>
      <c r="C493">
        <v>2025</v>
      </c>
      <c r="D493" t="s">
        <v>23</v>
      </c>
      <c r="E493" t="s">
        <v>28</v>
      </c>
      <c r="F493" t="s">
        <v>35</v>
      </c>
      <c r="G493" t="s">
        <v>20</v>
      </c>
      <c r="H493">
        <v>10</v>
      </c>
      <c r="I493">
        <v>1500</v>
      </c>
      <c r="J493">
        <v>5149</v>
      </c>
      <c r="K493">
        <v>214.73</v>
      </c>
      <c r="L493" s="3">
        <f t="shared" si="7"/>
        <v>0.14315333333333333</v>
      </c>
    </row>
    <row r="494" spans="1:12" x14ac:dyDescent="0.3">
      <c r="A494" s="5" t="s">
        <v>282</v>
      </c>
      <c r="B494" t="s">
        <v>37</v>
      </c>
      <c r="C494">
        <v>2025</v>
      </c>
      <c r="D494" t="s">
        <v>18</v>
      </c>
      <c r="E494" t="s">
        <v>60</v>
      </c>
      <c r="F494" t="s">
        <v>42</v>
      </c>
      <c r="G494" t="s">
        <v>20</v>
      </c>
      <c r="H494">
        <v>20</v>
      </c>
      <c r="I494">
        <v>2500</v>
      </c>
      <c r="J494">
        <v>9694</v>
      </c>
      <c r="K494">
        <v>654.24</v>
      </c>
      <c r="L494" s="3">
        <f t="shared" si="7"/>
        <v>0.26169599999999998</v>
      </c>
    </row>
    <row r="495" spans="1:12" x14ac:dyDescent="0.3">
      <c r="A495" s="5" t="s">
        <v>310</v>
      </c>
      <c r="B495" t="s">
        <v>37</v>
      </c>
      <c r="C495">
        <v>2025</v>
      </c>
      <c r="D495" t="s">
        <v>13</v>
      </c>
      <c r="E495" t="s">
        <v>28</v>
      </c>
      <c r="F495" t="s">
        <v>42</v>
      </c>
      <c r="G495" t="s">
        <v>20</v>
      </c>
      <c r="H495">
        <v>8</v>
      </c>
      <c r="I495">
        <v>9672</v>
      </c>
      <c r="J495">
        <v>18108</v>
      </c>
      <c r="K495">
        <v>1532.36</v>
      </c>
      <c r="L495" s="3">
        <f t="shared" si="7"/>
        <v>0.15843258891645987</v>
      </c>
    </row>
    <row r="496" spans="1:12" x14ac:dyDescent="0.3">
      <c r="A496" s="5" t="s">
        <v>311</v>
      </c>
      <c r="B496" t="s">
        <v>45</v>
      </c>
      <c r="C496">
        <v>2025</v>
      </c>
      <c r="D496" t="s">
        <v>13</v>
      </c>
      <c r="E496" t="s">
        <v>26</v>
      </c>
      <c r="F496" t="s">
        <v>15</v>
      </c>
      <c r="G496" t="s">
        <v>16</v>
      </c>
      <c r="H496">
        <v>4</v>
      </c>
      <c r="I496">
        <v>4140</v>
      </c>
      <c r="J496">
        <v>16565</v>
      </c>
      <c r="K496">
        <v>446.63</v>
      </c>
      <c r="L496" s="3">
        <f t="shared" si="7"/>
        <v>0.1078816425120773</v>
      </c>
    </row>
    <row r="497" spans="1:12" x14ac:dyDescent="0.3">
      <c r="A497" s="5" t="s">
        <v>76</v>
      </c>
      <c r="B497" t="s">
        <v>34</v>
      </c>
      <c r="C497">
        <v>2025</v>
      </c>
      <c r="D497" t="s">
        <v>18</v>
      </c>
      <c r="E497" t="s">
        <v>26</v>
      </c>
      <c r="F497" t="s">
        <v>42</v>
      </c>
      <c r="G497" t="s">
        <v>20</v>
      </c>
      <c r="H497">
        <v>15</v>
      </c>
      <c r="I497">
        <v>18945</v>
      </c>
      <c r="J497">
        <v>6216</v>
      </c>
      <c r="K497">
        <v>3784.94</v>
      </c>
      <c r="L497" s="3">
        <f t="shared" si="7"/>
        <v>0.19978569543415151</v>
      </c>
    </row>
    <row r="498" spans="1:12" x14ac:dyDescent="0.3">
      <c r="A498" s="5" t="s">
        <v>137</v>
      </c>
      <c r="B498" t="s">
        <v>57</v>
      </c>
      <c r="C498">
        <v>2025</v>
      </c>
      <c r="D498" t="s">
        <v>18</v>
      </c>
      <c r="E498" t="s">
        <v>14</v>
      </c>
      <c r="F498" t="s">
        <v>15</v>
      </c>
      <c r="G498" t="s">
        <v>16</v>
      </c>
      <c r="H498">
        <v>19</v>
      </c>
      <c r="I498">
        <v>18183</v>
      </c>
      <c r="J498">
        <v>13766</v>
      </c>
      <c r="K498">
        <v>3186.01</v>
      </c>
      <c r="L498" s="3">
        <f t="shared" si="7"/>
        <v>0.17521916075455096</v>
      </c>
    </row>
    <row r="499" spans="1:12" x14ac:dyDescent="0.3">
      <c r="A499" s="5" t="s">
        <v>296</v>
      </c>
      <c r="B499" t="s">
        <v>57</v>
      </c>
      <c r="C499">
        <v>2025</v>
      </c>
      <c r="D499" t="s">
        <v>32</v>
      </c>
      <c r="E499" t="s">
        <v>26</v>
      </c>
      <c r="F499" t="s">
        <v>29</v>
      </c>
      <c r="G499" t="s">
        <v>20</v>
      </c>
      <c r="H499">
        <v>19</v>
      </c>
      <c r="I499">
        <v>7030</v>
      </c>
      <c r="J499">
        <v>14126</v>
      </c>
      <c r="K499">
        <v>1022.18</v>
      </c>
      <c r="L499" s="3">
        <f t="shared" si="7"/>
        <v>0.14540256045519204</v>
      </c>
    </row>
    <row r="500" spans="1:12" x14ac:dyDescent="0.3">
      <c r="A500" s="5" t="s">
        <v>288</v>
      </c>
      <c r="B500" t="s">
        <v>57</v>
      </c>
      <c r="C500">
        <v>2025</v>
      </c>
      <c r="D500" t="s">
        <v>23</v>
      </c>
      <c r="E500" t="s">
        <v>28</v>
      </c>
      <c r="F500" t="s">
        <v>29</v>
      </c>
      <c r="G500" t="s">
        <v>20</v>
      </c>
      <c r="H500">
        <v>1</v>
      </c>
      <c r="I500">
        <v>551</v>
      </c>
      <c r="J500">
        <v>15744</v>
      </c>
      <c r="K500">
        <v>121.59</v>
      </c>
      <c r="L500" s="3">
        <f t="shared" si="7"/>
        <v>0.22067150635208713</v>
      </c>
    </row>
    <row r="501" spans="1:12" x14ac:dyDescent="0.3">
      <c r="A501" s="5" t="s">
        <v>312</v>
      </c>
      <c r="B501" t="s">
        <v>85</v>
      </c>
      <c r="C501">
        <v>2025</v>
      </c>
      <c r="D501" t="s">
        <v>32</v>
      </c>
      <c r="E501" t="s">
        <v>26</v>
      </c>
      <c r="F501" t="s">
        <v>62</v>
      </c>
      <c r="G501" t="s">
        <v>63</v>
      </c>
      <c r="H501">
        <v>9</v>
      </c>
      <c r="I501">
        <v>4275</v>
      </c>
      <c r="J501">
        <v>10505</v>
      </c>
      <c r="K501">
        <v>698.33</v>
      </c>
      <c r="L501" s="3">
        <f t="shared" si="7"/>
        <v>0.16335204678362575</v>
      </c>
    </row>
    <row r="502" spans="1:12" x14ac:dyDescent="0.3">
      <c r="A502" s="5" t="s">
        <v>272</v>
      </c>
      <c r="B502" t="s">
        <v>57</v>
      </c>
      <c r="C502">
        <v>2025</v>
      </c>
      <c r="D502" t="s">
        <v>18</v>
      </c>
      <c r="E502" t="s">
        <v>49</v>
      </c>
      <c r="F502" t="s">
        <v>35</v>
      </c>
      <c r="G502" t="s">
        <v>20</v>
      </c>
      <c r="H502">
        <v>2</v>
      </c>
      <c r="I502">
        <v>1534</v>
      </c>
      <c r="J502">
        <v>16197</v>
      </c>
      <c r="K502">
        <v>257.11</v>
      </c>
      <c r="L502" s="3">
        <f t="shared" si="7"/>
        <v>0.16760756192959583</v>
      </c>
    </row>
    <row r="503" spans="1:12" x14ac:dyDescent="0.3">
      <c r="A503" s="5" t="s">
        <v>308</v>
      </c>
      <c r="B503" t="s">
        <v>22</v>
      </c>
      <c r="C503">
        <v>2025</v>
      </c>
      <c r="D503" t="s">
        <v>13</v>
      </c>
      <c r="E503" t="s">
        <v>60</v>
      </c>
      <c r="F503" t="s">
        <v>29</v>
      </c>
      <c r="G503" t="s">
        <v>20</v>
      </c>
      <c r="H503">
        <v>8</v>
      </c>
      <c r="I503">
        <v>3016</v>
      </c>
      <c r="J503">
        <v>18730</v>
      </c>
      <c r="K503">
        <v>502.96</v>
      </c>
      <c r="L503" s="3">
        <f t="shared" si="7"/>
        <v>0.16676392572944296</v>
      </c>
    </row>
    <row r="504" spans="1:12" x14ac:dyDescent="0.3">
      <c r="A504" s="5" t="s">
        <v>308</v>
      </c>
      <c r="B504" t="s">
        <v>22</v>
      </c>
      <c r="C504">
        <v>2025</v>
      </c>
      <c r="D504" t="s">
        <v>23</v>
      </c>
      <c r="E504" t="s">
        <v>26</v>
      </c>
      <c r="F504" t="s">
        <v>29</v>
      </c>
      <c r="G504" t="s">
        <v>20</v>
      </c>
      <c r="H504">
        <v>17</v>
      </c>
      <c r="I504">
        <v>15827</v>
      </c>
      <c r="J504">
        <v>17766</v>
      </c>
      <c r="K504">
        <v>2346.17</v>
      </c>
      <c r="L504" s="3">
        <f t="shared" si="7"/>
        <v>0.14823845327604726</v>
      </c>
    </row>
    <row r="505" spans="1:12" x14ac:dyDescent="0.3">
      <c r="A505" s="5" t="s">
        <v>215</v>
      </c>
      <c r="B505" t="s">
        <v>85</v>
      </c>
      <c r="C505">
        <v>2025</v>
      </c>
      <c r="D505" t="s">
        <v>18</v>
      </c>
      <c r="E505" t="s">
        <v>60</v>
      </c>
      <c r="F505" t="s">
        <v>29</v>
      </c>
      <c r="G505" t="s">
        <v>20</v>
      </c>
      <c r="H505">
        <v>1</v>
      </c>
      <c r="I505">
        <v>937</v>
      </c>
      <c r="J505">
        <v>5367</v>
      </c>
      <c r="K505">
        <v>212.66</v>
      </c>
      <c r="L505" s="3">
        <f t="shared" si="7"/>
        <v>0.22695837780149414</v>
      </c>
    </row>
    <row r="506" spans="1:12" x14ac:dyDescent="0.3">
      <c r="A506" s="5" t="s">
        <v>160</v>
      </c>
      <c r="B506" t="s">
        <v>25</v>
      </c>
      <c r="C506">
        <v>2025</v>
      </c>
      <c r="D506" t="s">
        <v>23</v>
      </c>
      <c r="E506" t="s">
        <v>28</v>
      </c>
      <c r="F506" t="s">
        <v>15</v>
      </c>
      <c r="G506" t="s">
        <v>16</v>
      </c>
      <c r="H506">
        <v>5</v>
      </c>
      <c r="I506">
        <v>6635</v>
      </c>
      <c r="J506">
        <v>8598</v>
      </c>
      <c r="K506">
        <v>1070.92</v>
      </c>
      <c r="L506" s="3">
        <f t="shared" si="7"/>
        <v>0.16140467219291638</v>
      </c>
    </row>
    <row r="507" spans="1:12" x14ac:dyDescent="0.3">
      <c r="A507" s="5" t="s">
        <v>313</v>
      </c>
      <c r="B507" t="s">
        <v>41</v>
      </c>
      <c r="C507">
        <v>2025</v>
      </c>
      <c r="D507" t="s">
        <v>13</v>
      </c>
      <c r="E507" t="s">
        <v>26</v>
      </c>
      <c r="F507" t="s">
        <v>42</v>
      </c>
      <c r="G507" t="s">
        <v>20</v>
      </c>
      <c r="H507">
        <v>20</v>
      </c>
      <c r="I507">
        <v>2060</v>
      </c>
      <c r="J507">
        <v>19812</v>
      </c>
      <c r="K507">
        <v>207.32</v>
      </c>
      <c r="L507" s="3">
        <f t="shared" si="7"/>
        <v>0.10064077669902913</v>
      </c>
    </row>
    <row r="508" spans="1:12" x14ac:dyDescent="0.3">
      <c r="A508" s="5" t="s">
        <v>272</v>
      </c>
      <c r="B508" t="s">
        <v>57</v>
      </c>
      <c r="C508">
        <v>2025</v>
      </c>
      <c r="D508" t="s">
        <v>13</v>
      </c>
      <c r="E508" t="s">
        <v>49</v>
      </c>
      <c r="F508" t="s">
        <v>15</v>
      </c>
      <c r="G508" t="s">
        <v>16</v>
      </c>
      <c r="H508">
        <v>16</v>
      </c>
      <c r="I508">
        <v>10752</v>
      </c>
      <c r="J508">
        <v>10905</v>
      </c>
      <c r="K508">
        <v>1344.07</v>
      </c>
      <c r="L508" s="3">
        <f t="shared" si="7"/>
        <v>0.12500651041666666</v>
      </c>
    </row>
    <row r="509" spans="1:12" x14ac:dyDescent="0.3">
      <c r="A509" s="5" t="s">
        <v>314</v>
      </c>
      <c r="B509" t="s">
        <v>41</v>
      </c>
      <c r="C509">
        <v>2025</v>
      </c>
      <c r="D509" t="s">
        <v>23</v>
      </c>
      <c r="E509" t="s">
        <v>14</v>
      </c>
      <c r="F509" t="s">
        <v>42</v>
      </c>
      <c r="G509" t="s">
        <v>20</v>
      </c>
      <c r="H509">
        <v>17</v>
      </c>
      <c r="I509">
        <v>9282</v>
      </c>
      <c r="J509">
        <v>5234</v>
      </c>
      <c r="K509">
        <v>1998.72</v>
      </c>
      <c r="L509" s="3">
        <f t="shared" si="7"/>
        <v>0.21533290239172592</v>
      </c>
    </row>
    <row r="510" spans="1:12" x14ac:dyDescent="0.3">
      <c r="A510" s="5" t="s">
        <v>315</v>
      </c>
      <c r="B510" t="s">
        <v>31</v>
      </c>
      <c r="C510">
        <v>2025</v>
      </c>
      <c r="D510" t="s">
        <v>32</v>
      </c>
      <c r="E510" t="s">
        <v>60</v>
      </c>
      <c r="F510" t="s">
        <v>19</v>
      </c>
      <c r="G510" t="s">
        <v>20</v>
      </c>
      <c r="H510">
        <v>8</v>
      </c>
      <c r="I510">
        <v>8048</v>
      </c>
      <c r="J510">
        <v>11425</v>
      </c>
      <c r="K510">
        <v>1176.28</v>
      </c>
      <c r="L510" s="3">
        <f t="shared" si="7"/>
        <v>0.14615805168986082</v>
      </c>
    </row>
    <row r="511" spans="1:12" x14ac:dyDescent="0.3">
      <c r="A511" s="5" t="s">
        <v>316</v>
      </c>
      <c r="B511" t="s">
        <v>45</v>
      </c>
      <c r="C511">
        <v>2025</v>
      </c>
      <c r="D511" t="s">
        <v>32</v>
      </c>
      <c r="E511" t="s">
        <v>14</v>
      </c>
      <c r="F511" t="s">
        <v>62</v>
      </c>
      <c r="G511" t="s">
        <v>63</v>
      </c>
      <c r="H511">
        <v>13</v>
      </c>
      <c r="I511">
        <v>10972</v>
      </c>
      <c r="J511">
        <v>11684</v>
      </c>
      <c r="K511">
        <v>1755.08</v>
      </c>
      <c r="L511" s="3">
        <f t="shared" si="7"/>
        <v>0.15995989792198323</v>
      </c>
    </row>
    <row r="512" spans="1:12" x14ac:dyDescent="0.3">
      <c r="A512" s="5" t="s">
        <v>24</v>
      </c>
      <c r="B512" t="s">
        <v>25</v>
      </c>
      <c r="C512">
        <v>2025</v>
      </c>
      <c r="D512" t="s">
        <v>23</v>
      </c>
      <c r="E512" t="s">
        <v>49</v>
      </c>
      <c r="F512" t="s">
        <v>42</v>
      </c>
      <c r="G512" t="s">
        <v>20</v>
      </c>
      <c r="H512">
        <v>16</v>
      </c>
      <c r="I512">
        <v>21264</v>
      </c>
      <c r="J512">
        <v>17637</v>
      </c>
      <c r="K512">
        <v>2207.2399999999998</v>
      </c>
      <c r="L512" s="3">
        <f t="shared" si="7"/>
        <v>0.10380173062452971</v>
      </c>
    </row>
    <row r="513" spans="1:12" x14ac:dyDescent="0.3">
      <c r="A513" s="5" t="s">
        <v>262</v>
      </c>
      <c r="B513" t="s">
        <v>31</v>
      </c>
      <c r="C513">
        <v>2025</v>
      </c>
      <c r="D513" t="s">
        <v>18</v>
      </c>
      <c r="E513" t="s">
        <v>26</v>
      </c>
      <c r="F513" t="s">
        <v>15</v>
      </c>
      <c r="G513" t="s">
        <v>16</v>
      </c>
      <c r="H513">
        <v>10</v>
      </c>
      <c r="I513">
        <v>12300</v>
      </c>
      <c r="J513">
        <v>12191</v>
      </c>
      <c r="K513">
        <v>2066.83</v>
      </c>
      <c r="L513" s="3">
        <f t="shared" si="7"/>
        <v>0.16803495934959348</v>
      </c>
    </row>
    <row r="514" spans="1:12" x14ac:dyDescent="0.3">
      <c r="A514" s="5" t="s">
        <v>179</v>
      </c>
      <c r="B514" t="s">
        <v>37</v>
      </c>
      <c r="C514">
        <v>2025</v>
      </c>
      <c r="D514" t="s">
        <v>23</v>
      </c>
      <c r="E514" t="s">
        <v>60</v>
      </c>
      <c r="F514" t="s">
        <v>15</v>
      </c>
      <c r="G514" t="s">
        <v>16</v>
      </c>
      <c r="H514">
        <v>19</v>
      </c>
      <c r="I514">
        <v>10108</v>
      </c>
      <c r="J514">
        <v>13826</v>
      </c>
      <c r="K514">
        <v>2878.7</v>
      </c>
      <c r="L514" s="3">
        <f t="shared" si="7"/>
        <v>0.28479422239810048</v>
      </c>
    </row>
    <row r="515" spans="1:12" x14ac:dyDescent="0.3">
      <c r="A515" s="5" t="s">
        <v>124</v>
      </c>
      <c r="B515" t="s">
        <v>48</v>
      </c>
      <c r="C515">
        <v>2025</v>
      </c>
      <c r="D515" t="s">
        <v>32</v>
      </c>
      <c r="E515" t="s">
        <v>49</v>
      </c>
      <c r="F515" t="s">
        <v>62</v>
      </c>
      <c r="G515" t="s">
        <v>63</v>
      </c>
      <c r="H515">
        <v>10</v>
      </c>
      <c r="I515">
        <v>7000</v>
      </c>
      <c r="J515">
        <v>10575</v>
      </c>
      <c r="K515">
        <v>1014.84</v>
      </c>
      <c r="L515" s="3">
        <f t="shared" ref="L515:L578" si="8">K515/I515</f>
        <v>0.14497714285714286</v>
      </c>
    </row>
    <row r="516" spans="1:12" x14ac:dyDescent="0.3">
      <c r="A516" s="5" t="s">
        <v>317</v>
      </c>
      <c r="B516" t="s">
        <v>48</v>
      </c>
      <c r="C516">
        <v>2025</v>
      </c>
      <c r="D516" t="s">
        <v>13</v>
      </c>
      <c r="E516" t="s">
        <v>14</v>
      </c>
      <c r="F516" t="s">
        <v>29</v>
      </c>
      <c r="G516" t="s">
        <v>20</v>
      </c>
      <c r="H516">
        <v>15</v>
      </c>
      <c r="I516">
        <v>12675</v>
      </c>
      <c r="J516">
        <v>17639</v>
      </c>
      <c r="K516">
        <v>3179.65</v>
      </c>
      <c r="L516" s="3">
        <f t="shared" si="8"/>
        <v>0.25085996055226822</v>
      </c>
    </row>
    <row r="517" spans="1:12" x14ac:dyDescent="0.3">
      <c r="A517" s="5" t="s">
        <v>92</v>
      </c>
      <c r="B517" t="s">
        <v>12</v>
      </c>
      <c r="C517">
        <v>2025</v>
      </c>
      <c r="D517" t="s">
        <v>32</v>
      </c>
      <c r="E517" t="s">
        <v>14</v>
      </c>
      <c r="F517" t="s">
        <v>42</v>
      </c>
      <c r="G517" t="s">
        <v>20</v>
      </c>
      <c r="H517">
        <v>16</v>
      </c>
      <c r="I517">
        <v>23888</v>
      </c>
      <c r="J517">
        <v>15000</v>
      </c>
      <c r="K517">
        <v>7141.75</v>
      </c>
      <c r="L517" s="3">
        <f t="shared" si="8"/>
        <v>0.29896810113864702</v>
      </c>
    </row>
    <row r="518" spans="1:12" x14ac:dyDescent="0.3">
      <c r="A518" s="5" t="s">
        <v>317</v>
      </c>
      <c r="B518" t="s">
        <v>48</v>
      </c>
      <c r="C518">
        <v>2025</v>
      </c>
      <c r="D518" t="s">
        <v>23</v>
      </c>
      <c r="E518" t="s">
        <v>49</v>
      </c>
      <c r="F518" t="s">
        <v>35</v>
      </c>
      <c r="G518" t="s">
        <v>20</v>
      </c>
      <c r="H518">
        <v>20</v>
      </c>
      <c r="I518">
        <v>22460</v>
      </c>
      <c r="J518">
        <v>12542</v>
      </c>
      <c r="K518">
        <v>3233.19</v>
      </c>
      <c r="L518" s="3">
        <f t="shared" si="8"/>
        <v>0.14395325022261798</v>
      </c>
    </row>
    <row r="519" spans="1:12" x14ac:dyDescent="0.3">
      <c r="A519" s="5" t="s">
        <v>68</v>
      </c>
      <c r="B519" t="s">
        <v>12</v>
      </c>
      <c r="C519">
        <v>2025</v>
      </c>
      <c r="D519" t="s">
        <v>23</v>
      </c>
      <c r="E519" t="s">
        <v>14</v>
      </c>
      <c r="F519" t="s">
        <v>19</v>
      </c>
      <c r="G519" t="s">
        <v>20</v>
      </c>
      <c r="H519">
        <v>18</v>
      </c>
      <c r="I519">
        <v>7434</v>
      </c>
      <c r="J519">
        <v>18631</v>
      </c>
      <c r="K519">
        <v>795.04</v>
      </c>
      <c r="L519" s="3">
        <f t="shared" si="8"/>
        <v>0.10694646220069949</v>
      </c>
    </row>
    <row r="520" spans="1:12" x14ac:dyDescent="0.3">
      <c r="A520" s="5" t="s">
        <v>61</v>
      </c>
      <c r="B520" t="s">
        <v>31</v>
      </c>
      <c r="C520">
        <v>2025</v>
      </c>
      <c r="D520" t="s">
        <v>13</v>
      </c>
      <c r="E520" t="s">
        <v>49</v>
      </c>
      <c r="F520" t="s">
        <v>35</v>
      </c>
      <c r="G520" t="s">
        <v>20</v>
      </c>
      <c r="H520">
        <v>16</v>
      </c>
      <c r="I520">
        <v>5920</v>
      </c>
      <c r="J520">
        <v>5905</v>
      </c>
      <c r="K520">
        <v>842.71</v>
      </c>
      <c r="L520" s="3">
        <f t="shared" si="8"/>
        <v>0.14234966216216216</v>
      </c>
    </row>
    <row r="521" spans="1:12" x14ac:dyDescent="0.3">
      <c r="A521" s="5" t="s">
        <v>312</v>
      </c>
      <c r="B521" t="s">
        <v>85</v>
      </c>
      <c r="C521">
        <v>2025</v>
      </c>
      <c r="D521" t="s">
        <v>18</v>
      </c>
      <c r="E521" t="s">
        <v>60</v>
      </c>
      <c r="F521" t="s">
        <v>42</v>
      </c>
      <c r="G521" t="s">
        <v>20</v>
      </c>
      <c r="H521">
        <v>6</v>
      </c>
      <c r="I521">
        <v>3366</v>
      </c>
      <c r="J521">
        <v>14781</v>
      </c>
      <c r="K521">
        <v>443.87</v>
      </c>
      <c r="L521" s="3">
        <f t="shared" si="8"/>
        <v>0.13186868686868686</v>
      </c>
    </row>
    <row r="522" spans="1:12" x14ac:dyDescent="0.3">
      <c r="A522" s="5" t="s">
        <v>102</v>
      </c>
      <c r="B522" t="s">
        <v>57</v>
      </c>
      <c r="C522">
        <v>2025</v>
      </c>
      <c r="D522" t="s">
        <v>18</v>
      </c>
      <c r="E522" t="s">
        <v>60</v>
      </c>
      <c r="F522" t="s">
        <v>35</v>
      </c>
      <c r="G522" t="s">
        <v>20</v>
      </c>
      <c r="H522">
        <v>16</v>
      </c>
      <c r="I522">
        <v>18896</v>
      </c>
      <c r="J522">
        <v>10948</v>
      </c>
      <c r="K522">
        <v>2755.1</v>
      </c>
      <c r="L522" s="3">
        <f t="shared" si="8"/>
        <v>0.14580334462320066</v>
      </c>
    </row>
    <row r="523" spans="1:12" x14ac:dyDescent="0.3">
      <c r="A523" s="5" t="s">
        <v>216</v>
      </c>
      <c r="B523" t="s">
        <v>85</v>
      </c>
      <c r="C523">
        <v>2025</v>
      </c>
      <c r="D523" t="s">
        <v>18</v>
      </c>
      <c r="E523" t="s">
        <v>60</v>
      </c>
      <c r="F523" t="s">
        <v>42</v>
      </c>
      <c r="G523" t="s">
        <v>20</v>
      </c>
      <c r="H523">
        <v>19</v>
      </c>
      <c r="I523">
        <v>17841</v>
      </c>
      <c r="J523">
        <v>16218</v>
      </c>
      <c r="K523">
        <v>4801.82</v>
      </c>
      <c r="L523" s="3">
        <f t="shared" si="8"/>
        <v>0.26914522728546603</v>
      </c>
    </row>
    <row r="524" spans="1:12" x14ac:dyDescent="0.3">
      <c r="A524" s="5" t="s">
        <v>121</v>
      </c>
      <c r="B524" t="s">
        <v>12</v>
      </c>
      <c r="C524">
        <v>2025</v>
      </c>
      <c r="D524" t="s">
        <v>23</v>
      </c>
      <c r="E524" t="s">
        <v>26</v>
      </c>
      <c r="F524" t="s">
        <v>19</v>
      </c>
      <c r="G524" t="s">
        <v>20</v>
      </c>
      <c r="H524">
        <v>7</v>
      </c>
      <c r="I524">
        <v>9562</v>
      </c>
      <c r="J524">
        <v>14366</v>
      </c>
      <c r="K524">
        <v>2085.5</v>
      </c>
      <c r="L524" s="3">
        <f t="shared" si="8"/>
        <v>0.21810290734156035</v>
      </c>
    </row>
    <row r="525" spans="1:12" x14ac:dyDescent="0.3">
      <c r="A525" s="5" t="s">
        <v>232</v>
      </c>
      <c r="B525" t="s">
        <v>37</v>
      </c>
      <c r="C525">
        <v>2025</v>
      </c>
      <c r="D525" t="s">
        <v>32</v>
      </c>
      <c r="E525" t="s">
        <v>28</v>
      </c>
      <c r="F525" t="s">
        <v>35</v>
      </c>
      <c r="G525" t="s">
        <v>20</v>
      </c>
      <c r="H525">
        <v>8</v>
      </c>
      <c r="I525">
        <v>5384</v>
      </c>
      <c r="J525">
        <v>10193</v>
      </c>
      <c r="K525">
        <v>1426.75</v>
      </c>
      <c r="L525" s="3">
        <f t="shared" si="8"/>
        <v>0.2649981426448737</v>
      </c>
    </row>
    <row r="526" spans="1:12" x14ac:dyDescent="0.3">
      <c r="A526" s="5" t="s">
        <v>149</v>
      </c>
      <c r="B526" t="s">
        <v>41</v>
      </c>
      <c r="C526">
        <v>2025</v>
      </c>
      <c r="D526" t="s">
        <v>23</v>
      </c>
      <c r="E526" t="s">
        <v>60</v>
      </c>
      <c r="F526" t="s">
        <v>19</v>
      </c>
      <c r="G526" t="s">
        <v>20</v>
      </c>
      <c r="H526">
        <v>6</v>
      </c>
      <c r="I526">
        <v>2046</v>
      </c>
      <c r="J526">
        <v>5524</v>
      </c>
      <c r="K526">
        <v>442.23</v>
      </c>
      <c r="L526" s="3">
        <f t="shared" si="8"/>
        <v>0.21614369501466277</v>
      </c>
    </row>
    <row r="527" spans="1:12" x14ac:dyDescent="0.3">
      <c r="A527" s="5" t="s">
        <v>318</v>
      </c>
      <c r="B527" t="s">
        <v>12</v>
      </c>
      <c r="C527">
        <v>2025</v>
      </c>
      <c r="D527" t="s">
        <v>18</v>
      </c>
      <c r="E527" t="s">
        <v>49</v>
      </c>
      <c r="F527" t="s">
        <v>35</v>
      </c>
      <c r="G527" t="s">
        <v>20</v>
      </c>
      <c r="H527">
        <v>12</v>
      </c>
      <c r="I527">
        <v>4776</v>
      </c>
      <c r="J527">
        <v>9366</v>
      </c>
      <c r="K527">
        <v>1176.52</v>
      </c>
      <c r="L527" s="3">
        <f t="shared" si="8"/>
        <v>0.24634003350083752</v>
      </c>
    </row>
    <row r="528" spans="1:12" x14ac:dyDescent="0.3">
      <c r="A528" s="5" t="s">
        <v>190</v>
      </c>
      <c r="B528" t="s">
        <v>25</v>
      </c>
      <c r="C528">
        <v>2025</v>
      </c>
      <c r="D528" t="s">
        <v>32</v>
      </c>
      <c r="E528" t="s">
        <v>14</v>
      </c>
      <c r="F528" t="s">
        <v>19</v>
      </c>
      <c r="G528" t="s">
        <v>20</v>
      </c>
      <c r="H528">
        <v>15</v>
      </c>
      <c r="I528">
        <v>13785</v>
      </c>
      <c r="J528">
        <v>13441</v>
      </c>
      <c r="K528">
        <v>4105.4799999999996</v>
      </c>
      <c r="L528" s="3">
        <f t="shared" si="8"/>
        <v>0.29782227058396804</v>
      </c>
    </row>
    <row r="529" spans="1:12" x14ac:dyDescent="0.3">
      <c r="A529" s="5" t="s">
        <v>267</v>
      </c>
      <c r="B529" t="s">
        <v>45</v>
      </c>
      <c r="C529">
        <v>2025</v>
      </c>
      <c r="D529" t="s">
        <v>18</v>
      </c>
      <c r="E529" t="s">
        <v>14</v>
      </c>
      <c r="F529" t="s">
        <v>29</v>
      </c>
      <c r="G529" t="s">
        <v>20</v>
      </c>
      <c r="H529">
        <v>20</v>
      </c>
      <c r="I529">
        <v>8380</v>
      </c>
      <c r="J529">
        <v>6865</v>
      </c>
      <c r="K529">
        <v>1866.8</v>
      </c>
      <c r="L529" s="3">
        <f t="shared" si="8"/>
        <v>0.22276849642004773</v>
      </c>
    </row>
    <row r="530" spans="1:12" x14ac:dyDescent="0.3">
      <c r="A530" s="5" t="s">
        <v>73</v>
      </c>
      <c r="B530" t="s">
        <v>48</v>
      </c>
      <c r="C530">
        <v>2025</v>
      </c>
      <c r="D530" t="s">
        <v>13</v>
      </c>
      <c r="E530" t="s">
        <v>60</v>
      </c>
      <c r="F530" t="s">
        <v>62</v>
      </c>
      <c r="G530" t="s">
        <v>63</v>
      </c>
      <c r="H530">
        <v>17</v>
      </c>
      <c r="I530">
        <v>9605</v>
      </c>
      <c r="J530">
        <v>12841</v>
      </c>
      <c r="K530">
        <v>2130.73</v>
      </c>
      <c r="L530" s="3">
        <f t="shared" si="8"/>
        <v>0.22183550234252994</v>
      </c>
    </row>
    <row r="531" spans="1:12" x14ac:dyDescent="0.3">
      <c r="A531" s="5" t="s">
        <v>295</v>
      </c>
      <c r="B531" t="s">
        <v>48</v>
      </c>
      <c r="C531">
        <v>2025</v>
      </c>
      <c r="D531" t="s">
        <v>18</v>
      </c>
      <c r="E531" t="s">
        <v>26</v>
      </c>
      <c r="F531" t="s">
        <v>29</v>
      </c>
      <c r="G531" t="s">
        <v>20</v>
      </c>
      <c r="H531">
        <v>8</v>
      </c>
      <c r="I531">
        <v>9512</v>
      </c>
      <c r="J531">
        <v>13173</v>
      </c>
      <c r="K531">
        <v>2121.2800000000002</v>
      </c>
      <c r="L531" s="3">
        <f t="shared" si="8"/>
        <v>0.22301093355761145</v>
      </c>
    </row>
    <row r="532" spans="1:12" x14ac:dyDescent="0.3">
      <c r="A532" s="5" t="s">
        <v>319</v>
      </c>
      <c r="B532" t="s">
        <v>85</v>
      </c>
      <c r="C532">
        <v>2025</v>
      </c>
      <c r="D532" t="s">
        <v>32</v>
      </c>
      <c r="E532" t="s">
        <v>28</v>
      </c>
      <c r="F532" t="s">
        <v>19</v>
      </c>
      <c r="G532" t="s">
        <v>20</v>
      </c>
      <c r="H532">
        <v>3</v>
      </c>
      <c r="I532">
        <v>792</v>
      </c>
      <c r="J532">
        <v>15661</v>
      </c>
      <c r="K532">
        <v>165.85</v>
      </c>
      <c r="L532" s="3">
        <f t="shared" si="8"/>
        <v>0.20940656565656565</v>
      </c>
    </row>
    <row r="533" spans="1:12" x14ac:dyDescent="0.3">
      <c r="A533" s="5" t="s">
        <v>283</v>
      </c>
      <c r="B533" t="s">
        <v>25</v>
      </c>
      <c r="C533">
        <v>2025</v>
      </c>
      <c r="D533" t="s">
        <v>18</v>
      </c>
      <c r="E533" t="s">
        <v>14</v>
      </c>
      <c r="F533" t="s">
        <v>42</v>
      </c>
      <c r="G533" t="s">
        <v>20</v>
      </c>
      <c r="H533">
        <v>19</v>
      </c>
      <c r="I533">
        <v>19266</v>
      </c>
      <c r="J533">
        <v>9891</v>
      </c>
      <c r="K533">
        <v>4888.72</v>
      </c>
      <c r="L533" s="3">
        <f t="shared" si="8"/>
        <v>0.25374857261496941</v>
      </c>
    </row>
    <row r="534" spans="1:12" x14ac:dyDescent="0.3">
      <c r="A534" s="5" t="s">
        <v>150</v>
      </c>
      <c r="B534" t="s">
        <v>25</v>
      </c>
      <c r="C534">
        <v>2025</v>
      </c>
      <c r="D534" t="s">
        <v>32</v>
      </c>
      <c r="E534" t="s">
        <v>14</v>
      </c>
      <c r="F534" t="s">
        <v>29</v>
      </c>
      <c r="G534" t="s">
        <v>20</v>
      </c>
      <c r="H534">
        <v>3</v>
      </c>
      <c r="I534">
        <v>4356</v>
      </c>
      <c r="J534">
        <v>7240</v>
      </c>
      <c r="K534">
        <v>621.39</v>
      </c>
      <c r="L534" s="3">
        <f t="shared" si="8"/>
        <v>0.14265151515151514</v>
      </c>
    </row>
    <row r="535" spans="1:12" x14ac:dyDescent="0.3">
      <c r="A535" s="5" t="s">
        <v>320</v>
      </c>
      <c r="B535" t="s">
        <v>41</v>
      </c>
      <c r="C535">
        <v>2025</v>
      </c>
      <c r="D535" t="s">
        <v>23</v>
      </c>
      <c r="E535" t="s">
        <v>26</v>
      </c>
      <c r="F535" t="s">
        <v>19</v>
      </c>
      <c r="G535" t="s">
        <v>20</v>
      </c>
      <c r="H535">
        <v>12</v>
      </c>
      <c r="I535">
        <v>15312</v>
      </c>
      <c r="J535">
        <v>6286</v>
      </c>
      <c r="K535">
        <v>1728.67</v>
      </c>
      <c r="L535" s="3">
        <f t="shared" si="8"/>
        <v>0.11289642110762801</v>
      </c>
    </row>
    <row r="536" spans="1:12" x14ac:dyDescent="0.3">
      <c r="A536" s="5" t="s">
        <v>119</v>
      </c>
      <c r="B536" t="s">
        <v>25</v>
      </c>
      <c r="C536">
        <v>2025</v>
      </c>
      <c r="D536" t="s">
        <v>32</v>
      </c>
      <c r="E536" t="s">
        <v>28</v>
      </c>
      <c r="F536" t="s">
        <v>42</v>
      </c>
      <c r="G536" t="s">
        <v>20</v>
      </c>
      <c r="H536">
        <v>7</v>
      </c>
      <c r="I536">
        <v>8834</v>
      </c>
      <c r="J536">
        <v>5719</v>
      </c>
      <c r="K536">
        <v>1659.23</v>
      </c>
      <c r="L536" s="3">
        <f t="shared" si="8"/>
        <v>0.18782318315598823</v>
      </c>
    </row>
    <row r="537" spans="1:12" x14ac:dyDescent="0.3">
      <c r="A537" s="5" t="s">
        <v>150</v>
      </c>
      <c r="B537" t="s">
        <v>25</v>
      </c>
      <c r="C537">
        <v>2025</v>
      </c>
      <c r="D537" t="s">
        <v>18</v>
      </c>
      <c r="E537" t="s">
        <v>26</v>
      </c>
      <c r="F537" t="s">
        <v>15</v>
      </c>
      <c r="G537" t="s">
        <v>16</v>
      </c>
      <c r="H537">
        <v>7</v>
      </c>
      <c r="I537">
        <v>987</v>
      </c>
      <c r="J537">
        <v>11562</v>
      </c>
      <c r="K537">
        <v>161.61000000000001</v>
      </c>
      <c r="L537" s="3">
        <f t="shared" si="8"/>
        <v>0.16373860182370822</v>
      </c>
    </row>
    <row r="538" spans="1:12" x14ac:dyDescent="0.3">
      <c r="A538" s="5" t="s">
        <v>122</v>
      </c>
      <c r="B538" t="s">
        <v>34</v>
      </c>
      <c r="C538">
        <v>2025</v>
      </c>
      <c r="D538" t="s">
        <v>32</v>
      </c>
      <c r="E538" t="s">
        <v>49</v>
      </c>
      <c r="F538" t="s">
        <v>62</v>
      </c>
      <c r="G538" t="s">
        <v>63</v>
      </c>
      <c r="H538">
        <v>19</v>
      </c>
      <c r="I538">
        <v>2052</v>
      </c>
      <c r="J538">
        <v>16295</v>
      </c>
      <c r="K538">
        <v>468.67</v>
      </c>
      <c r="L538" s="3">
        <f t="shared" si="8"/>
        <v>0.22839668615984407</v>
      </c>
    </row>
    <row r="539" spans="1:12" x14ac:dyDescent="0.3">
      <c r="A539" s="5" t="s">
        <v>220</v>
      </c>
      <c r="B539" t="s">
        <v>37</v>
      </c>
      <c r="C539">
        <v>2025</v>
      </c>
      <c r="D539" t="s">
        <v>13</v>
      </c>
      <c r="E539" t="s">
        <v>14</v>
      </c>
      <c r="F539" t="s">
        <v>35</v>
      </c>
      <c r="G539" t="s">
        <v>20</v>
      </c>
      <c r="H539">
        <v>5</v>
      </c>
      <c r="I539">
        <v>2855</v>
      </c>
      <c r="J539">
        <v>11534</v>
      </c>
      <c r="K539">
        <v>792.38</v>
      </c>
      <c r="L539" s="3">
        <f t="shared" si="8"/>
        <v>0.27754115586690015</v>
      </c>
    </row>
    <row r="540" spans="1:12" x14ac:dyDescent="0.3">
      <c r="A540" s="5" t="s">
        <v>275</v>
      </c>
      <c r="B540" t="s">
        <v>34</v>
      </c>
      <c r="C540">
        <v>2025</v>
      </c>
      <c r="D540" t="s">
        <v>13</v>
      </c>
      <c r="E540" t="s">
        <v>49</v>
      </c>
      <c r="F540" t="s">
        <v>35</v>
      </c>
      <c r="G540" t="s">
        <v>20</v>
      </c>
      <c r="H540">
        <v>9</v>
      </c>
      <c r="I540">
        <v>2745</v>
      </c>
      <c r="J540">
        <v>5880</v>
      </c>
      <c r="K540">
        <v>584.39</v>
      </c>
      <c r="L540" s="3">
        <f t="shared" si="8"/>
        <v>0.21289253187613844</v>
      </c>
    </row>
    <row r="541" spans="1:12" x14ac:dyDescent="0.3">
      <c r="A541" s="5" t="s">
        <v>21</v>
      </c>
      <c r="B541" t="s">
        <v>22</v>
      </c>
      <c r="C541">
        <v>2025</v>
      </c>
      <c r="D541" t="s">
        <v>23</v>
      </c>
      <c r="E541" t="s">
        <v>14</v>
      </c>
      <c r="F541" t="s">
        <v>19</v>
      </c>
      <c r="G541" t="s">
        <v>20</v>
      </c>
      <c r="H541">
        <v>5</v>
      </c>
      <c r="I541">
        <v>1040</v>
      </c>
      <c r="J541">
        <v>19832</v>
      </c>
      <c r="K541">
        <v>145.65</v>
      </c>
      <c r="L541" s="3">
        <f t="shared" si="8"/>
        <v>0.14004807692307694</v>
      </c>
    </row>
    <row r="542" spans="1:12" x14ac:dyDescent="0.3">
      <c r="A542" s="5" t="s">
        <v>165</v>
      </c>
      <c r="B542" t="s">
        <v>22</v>
      </c>
      <c r="C542">
        <v>2025</v>
      </c>
      <c r="D542" t="s">
        <v>23</v>
      </c>
      <c r="E542" t="s">
        <v>49</v>
      </c>
      <c r="F542" t="s">
        <v>42</v>
      </c>
      <c r="G542" t="s">
        <v>20</v>
      </c>
      <c r="H542">
        <v>4</v>
      </c>
      <c r="I542">
        <v>5728</v>
      </c>
      <c r="J542">
        <v>14868</v>
      </c>
      <c r="K542">
        <v>1468.3</v>
      </c>
      <c r="L542" s="3">
        <f t="shared" si="8"/>
        <v>0.2563372905027933</v>
      </c>
    </row>
    <row r="543" spans="1:12" x14ac:dyDescent="0.3">
      <c r="A543" s="5" t="s">
        <v>98</v>
      </c>
      <c r="B543" t="s">
        <v>12</v>
      </c>
      <c r="C543">
        <v>2025</v>
      </c>
      <c r="D543" t="s">
        <v>32</v>
      </c>
      <c r="E543" t="s">
        <v>14</v>
      </c>
      <c r="F543" t="s">
        <v>19</v>
      </c>
      <c r="G543" t="s">
        <v>20</v>
      </c>
      <c r="H543">
        <v>18</v>
      </c>
      <c r="I543">
        <v>21834</v>
      </c>
      <c r="J543">
        <v>18802</v>
      </c>
      <c r="K543">
        <v>2548.0500000000002</v>
      </c>
      <c r="L543" s="3">
        <f t="shared" si="8"/>
        <v>0.11670101676284694</v>
      </c>
    </row>
    <row r="544" spans="1:12" x14ac:dyDescent="0.3">
      <c r="A544" s="5" t="s">
        <v>321</v>
      </c>
      <c r="B544" t="s">
        <v>34</v>
      </c>
      <c r="C544">
        <v>2025</v>
      </c>
      <c r="D544" t="s">
        <v>18</v>
      </c>
      <c r="E544" t="s">
        <v>28</v>
      </c>
      <c r="F544" t="s">
        <v>15</v>
      </c>
      <c r="G544" t="s">
        <v>16</v>
      </c>
      <c r="H544">
        <v>7</v>
      </c>
      <c r="I544">
        <v>966</v>
      </c>
      <c r="J544">
        <v>18742</v>
      </c>
      <c r="K544">
        <v>215.94</v>
      </c>
      <c r="L544" s="3">
        <f t="shared" si="8"/>
        <v>0.22354037267080745</v>
      </c>
    </row>
    <row r="545" spans="1:12" x14ac:dyDescent="0.3">
      <c r="A545" s="5" t="s">
        <v>177</v>
      </c>
      <c r="B545" t="s">
        <v>31</v>
      </c>
      <c r="C545">
        <v>2025</v>
      </c>
      <c r="D545" t="s">
        <v>23</v>
      </c>
      <c r="E545" t="s">
        <v>28</v>
      </c>
      <c r="F545" t="s">
        <v>42</v>
      </c>
      <c r="G545" t="s">
        <v>20</v>
      </c>
      <c r="H545">
        <v>9</v>
      </c>
      <c r="I545">
        <v>4185</v>
      </c>
      <c r="J545">
        <v>10798</v>
      </c>
      <c r="K545">
        <v>1165.4000000000001</v>
      </c>
      <c r="L545" s="3">
        <f t="shared" si="8"/>
        <v>0.27847072879330947</v>
      </c>
    </row>
    <row r="546" spans="1:12" x14ac:dyDescent="0.3">
      <c r="A546" s="5" t="s">
        <v>322</v>
      </c>
      <c r="B546" t="s">
        <v>45</v>
      </c>
      <c r="C546">
        <v>2025</v>
      </c>
      <c r="D546" t="s">
        <v>23</v>
      </c>
      <c r="E546" t="s">
        <v>49</v>
      </c>
      <c r="F546" t="s">
        <v>29</v>
      </c>
      <c r="G546" t="s">
        <v>20</v>
      </c>
      <c r="H546">
        <v>9</v>
      </c>
      <c r="I546">
        <v>8046</v>
      </c>
      <c r="J546">
        <v>11597</v>
      </c>
      <c r="K546">
        <v>1953.6</v>
      </c>
      <c r="L546" s="3">
        <f t="shared" si="8"/>
        <v>0.24280387770320655</v>
      </c>
    </row>
    <row r="547" spans="1:12" x14ac:dyDescent="0.3">
      <c r="A547" s="5" t="s">
        <v>323</v>
      </c>
      <c r="B547" t="s">
        <v>37</v>
      </c>
      <c r="C547">
        <v>2025</v>
      </c>
      <c r="D547" t="s">
        <v>18</v>
      </c>
      <c r="E547" t="s">
        <v>26</v>
      </c>
      <c r="F547" t="s">
        <v>15</v>
      </c>
      <c r="G547" t="s">
        <v>16</v>
      </c>
      <c r="H547">
        <v>12</v>
      </c>
      <c r="I547">
        <v>2940</v>
      </c>
      <c r="J547">
        <v>5340</v>
      </c>
      <c r="K547">
        <v>822.41</v>
      </c>
      <c r="L547" s="3">
        <f t="shared" si="8"/>
        <v>0.27973129251700679</v>
      </c>
    </row>
    <row r="548" spans="1:12" x14ac:dyDescent="0.3">
      <c r="A548" s="5" t="s">
        <v>108</v>
      </c>
      <c r="B548" t="s">
        <v>37</v>
      </c>
      <c r="C548">
        <v>2025</v>
      </c>
      <c r="D548" t="s">
        <v>32</v>
      </c>
      <c r="E548" t="s">
        <v>26</v>
      </c>
      <c r="F548" t="s">
        <v>62</v>
      </c>
      <c r="G548" t="s">
        <v>63</v>
      </c>
      <c r="H548">
        <v>11</v>
      </c>
      <c r="I548">
        <v>13794</v>
      </c>
      <c r="J548">
        <v>6082</v>
      </c>
      <c r="K548">
        <v>3423.55</v>
      </c>
      <c r="L548" s="3">
        <f t="shared" si="8"/>
        <v>0.248191242569233</v>
      </c>
    </row>
    <row r="549" spans="1:12" x14ac:dyDescent="0.3">
      <c r="A549" s="5" t="s">
        <v>324</v>
      </c>
      <c r="B549" t="s">
        <v>41</v>
      </c>
      <c r="C549">
        <v>2025</v>
      </c>
      <c r="D549" t="s">
        <v>23</v>
      </c>
      <c r="E549" t="s">
        <v>49</v>
      </c>
      <c r="F549" t="s">
        <v>19</v>
      </c>
      <c r="G549" t="s">
        <v>20</v>
      </c>
      <c r="H549">
        <v>20</v>
      </c>
      <c r="I549">
        <v>6860</v>
      </c>
      <c r="J549">
        <v>10829</v>
      </c>
      <c r="K549">
        <v>1397.46</v>
      </c>
      <c r="L549" s="3">
        <f t="shared" si="8"/>
        <v>0.20371137026239067</v>
      </c>
    </row>
    <row r="550" spans="1:12" x14ac:dyDescent="0.3">
      <c r="A550" s="5" t="s">
        <v>216</v>
      </c>
      <c r="B550" t="s">
        <v>85</v>
      </c>
      <c r="C550">
        <v>2025</v>
      </c>
      <c r="D550" t="s">
        <v>13</v>
      </c>
      <c r="E550" t="s">
        <v>49</v>
      </c>
      <c r="F550" t="s">
        <v>19</v>
      </c>
      <c r="G550" t="s">
        <v>20</v>
      </c>
      <c r="H550">
        <v>5</v>
      </c>
      <c r="I550">
        <v>2690</v>
      </c>
      <c r="J550">
        <v>5863</v>
      </c>
      <c r="K550">
        <v>294.02999999999997</v>
      </c>
      <c r="L550" s="3">
        <f t="shared" si="8"/>
        <v>0.10930483271375464</v>
      </c>
    </row>
    <row r="551" spans="1:12" x14ac:dyDescent="0.3">
      <c r="A551" s="5" t="s">
        <v>132</v>
      </c>
      <c r="B551" t="s">
        <v>31</v>
      </c>
      <c r="C551">
        <v>2025</v>
      </c>
      <c r="D551" t="s">
        <v>32</v>
      </c>
      <c r="E551" t="s">
        <v>49</v>
      </c>
      <c r="F551" t="s">
        <v>15</v>
      </c>
      <c r="G551" t="s">
        <v>16</v>
      </c>
      <c r="H551">
        <v>19</v>
      </c>
      <c r="I551">
        <v>11229</v>
      </c>
      <c r="J551">
        <v>19156</v>
      </c>
      <c r="K551">
        <v>3198.39</v>
      </c>
      <c r="L551" s="3">
        <f t="shared" si="8"/>
        <v>0.28483302164039537</v>
      </c>
    </row>
    <row r="552" spans="1:12" x14ac:dyDescent="0.3">
      <c r="A552" s="5" t="s">
        <v>200</v>
      </c>
      <c r="B552" t="s">
        <v>31</v>
      </c>
      <c r="C552">
        <v>2025</v>
      </c>
      <c r="D552" t="s">
        <v>32</v>
      </c>
      <c r="E552" t="s">
        <v>60</v>
      </c>
      <c r="F552" t="s">
        <v>35</v>
      </c>
      <c r="G552" t="s">
        <v>20</v>
      </c>
      <c r="H552">
        <v>5</v>
      </c>
      <c r="I552">
        <v>6945</v>
      </c>
      <c r="J552">
        <v>13087</v>
      </c>
      <c r="K552">
        <v>1986.59</v>
      </c>
      <c r="L552" s="3">
        <f t="shared" si="8"/>
        <v>0.28604607631389489</v>
      </c>
    </row>
    <row r="553" spans="1:12" x14ac:dyDescent="0.3">
      <c r="A553" s="5" t="s">
        <v>325</v>
      </c>
      <c r="B553" t="s">
        <v>22</v>
      </c>
      <c r="C553">
        <v>2025</v>
      </c>
      <c r="D553" t="s">
        <v>32</v>
      </c>
      <c r="E553" t="s">
        <v>28</v>
      </c>
      <c r="F553" t="s">
        <v>15</v>
      </c>
      <c r="G553" t="s">
        <v>16</v>
      </c>
      <c r="H553">
        <v>2</v>
      </c>
      <c r="I553">
        <v>2328</v>
      </c>
      <c r="J553">
        <v>14746</v>
      </c>
      <c r="K553">
        <v>412.16</v>
      </c>
      <c r="L553" s="3">
        <f t="shared" si="8"/>
        <v>0.17704467353951892</v>
      </c>
    </row>
    <row r="554" spans="1:12" x14ac:dyDescent="0.3">
      <c r="A554" s="5" t="s">
        <v>128</v>
      </c>
      <c r="B554" t="s">
        <v>48</v>
      </c>
      <c r="C554">
        <v>2025</v>
      </c>
      <c r="D554" t="s">
        <v>13</v>
      </c>
      <c r="E554" t="s">
        <v>26</v>
      </c>
      <c r="F554" t="s">
        <v>62</v>
      </c>
      <c r="G554" t="s">
        <v>63</v>
      </c>
      <c r="H554">
        <v>16</v>
      </c>
      <c r="I554">
        <v>19632</v>
      </c>
      <c r="J554">
        <v>11988</v>
      </c>
      <c r="K554">
        <v>3674.34</v>
      </c>
      <c r="L554" s="3">
        <f t="shared" si="8"/>
        <v>0.18716075794621029</v>
      </c>
    </row>
    <row r="555" spans="1:12" x14ac:dyDescent="0.3">
      <c r="A555" s="5" t="s">
        <v>211</v>
      </c>
      <c r="B555" t="s">
        <v>12</v>
      </c>
      <c r="C555">
        <v>2025</v>
      </c>
      <c r="D555" t="s">
        <v>13</v>
      </c>
      <c r="E555" t="s">
        <v>28</v>
      </c>
      <c r="F555" t="s">
        <v>62</v>
      </c>
      <c r="G555" t="s">
        <v>63</v>
      </c>
      <c r="H555">
        <v>1</v>
      </c>
      <c r="I555">
        <v>774</v>
      </c>
      <c r="J555">
        <v>18766</v>
      </c>
      <c r="K555">
        <v>96.24</v>
      </c>
      <c r="L555" s="3">
        <f t="shared" si="8"/>
        <v>0.12434108527131782</v>
      </c>
    </row>
    <row r="556" spans="1:12" x14ac:dyDescent="0.3">
      <c r="A556" s="5" t="s">
        <v>159</v>
      </c>
      <c r="B556" t="s">
        <v>12</v>
      </c>
      <c r="C556">
        <v>2025</v>
      </c>
      <c r="D556" t="s">
        <v>13</v>
      </c>
      <c r="E556" t="s">
        <v>14</v>
      </c>
      <c r="F556" t="s">
        <v>62</v>
      </c>
      <c r="G556" t="s">
        <v>63</v>
      </c>
      <c r="H556">
        <v>18</v>
      </c>
      <c r="I556">
        <v>5994</v>
      </c>
      <c r="J556">
        <v>15357</v>
      </c>
      <c r="K556">
        <v>778.68</v>
      </c>
      <c r="L556" s="3">
        <f t="shared" si="8"/>
        <v>0.12990990990990992</v>
      </c>
    </row>
    <row r="557" spans="1:12" x14ac:dyDescent="0.3">
      <c r="A557" s="5" t="s">
        <v>21</v>
      </c>
      <c r="B557" t="s">
        <v>22</v>
      </c>
      <c r="C557">
        <v>2025</v>
      </c>
      <c r="D557" t="s">
        <v>32</v>
      </c>
      <c r="E557" t="s">
        <v>26</v>
      </c>
      <c r="F557" t="s">
        <v>62</v>
      </c>
      <c r="G557" t="s">
        <v>63</v>
      </c>
      <c r="H557">
        <v>12</v>
      </c>
      <c r="I557">
        <v>8640</v>
      </c>
      <c r="J557">
        <v>7657</v>
      </c>
      <c r="K557">
        <v>1028.43</v>
      </c>
      <c r="L557" s="3">
        <f t="shared" si="8"/>
        <v>0.11903125000000001</v>
      </c>
    </row>
    <row r="558" spans="1:12" x14ac:dyDescent="0.3">
      <c r="A558" s="5" t="s">
        <v>71</v>
      </c>
      <c r="B558" t="s">
        <v>37</v>
      </c>
      <c r="C558">
        <v>2025</v>
      </c>
      <c r="D558" t="s">
        <v>18</v>
      </c>
      <c r="E558" t="s">
        <v>28</v>
      </c>
      <c r="F558" t="s">
        <v>15</v>
      </c>
      <c r="G558" t="s">
        <v>16</v>
      </c>
      <c r="H558">
        <v>20</v>
      </c>
      <c r="I558">
        <v>4560</v>
      </c>
      <c r="J558">
        <v>12379</v>
      </c>
      <c r="K558">
        <v>1232.19</v>
      </c>
      <c r="L558" s="3">
        <f t="shared" si="8"/>
        <v>0.2702171052631579</v>
      </c>
    </row>
    <row r="559" spans="1:12" x14ac:dyDescent="0.3">
      <c r="A559" s="5" t="s">
        <v>78</v>
      </c>
      <c r="B559" t="s">
        <v>34</v>
      </c>
      <c r="C559">
        <v>2025</v>
      </c>
      <c r="D559" t="s">
        <v>18</v>
      </c>
      <c r="E559" t="s">
        <v>60</v>
      </c>
      <c r="F559" t="s">
        <v>19</v>
      </c>
      <c r="G559" t="s">
        <v>20</v>
      </c>
      <c r="H559">
        <v>16</v>
      </c>
      <c r="I559">
        <v>8736</v>
      </c>
      <c r="J559">
        <v>17215</v>
      </c>
      <c r="K559">
        <v>1742.32</v>
      </c>
      <c r="L559" s="3">
        <f t="shared" si="8"/>
        <v>0.19944139194139193</v>
      </c>
    </row>
    <row r="560" spans="1:12" x14ac:dyDescent="0.3">
      <c r="A560" s="5" t="s">
        <v>123</v>
      </c>
      <c r="B560" t="s">
        <v>25</v>
      </c>
      <c r="C560">
        <v>2025</v>
      </c>
      <c r="D560" t="s">
        <v>18</v>
      </c>
      <c r="E560" t="s">
        <v>60</v>
      </c>
      <c r="F560" t="s">
        <v>42</v>
      </c>
      <c r="G560" t="s">
        <v>20</v>
      </c>
      <c r="H560">
        <v>19</v>
      </c>
      <c r="I560">
        <v>7239</v>
      </c>
      <c r="J560">
        <v>8203</v>
      </c>
      <c r="K560">
        <v>913.77</v>
      </c>
      <c r="L560" s="3">
        <f t="shared" si="8"/>
        <v>0.12622876087857438</v>
      </c>
    </row>
    <row r="561" spans="1:12" x14ac:dyDescent="0.3">
      <c r="A561" s="5" t="s">
        <v>55</v>
      </c>
      <c r="B561" t="s">
        <v>48</v>
      </c>
      <c r="C561">
        <v>2025</v>
      </c>
      <c r="D561" t="s">
        <v>13</v>
      </c>
      <c r="E561" t="s">
        <v>28</v>
      </c>
      <c r="F561" t="s">
        <v>35</v>
      </c>
      <c r="G561" t="s">
        <v>20</v>
      </c>
      <c r="H561">
        <v>17</v>
      </c>
      <c r="I561">
        <v>4726</v>
      </c>
      <c r="J561">
        <v>12155</v>
      </c>
      <c r="K561">
        <v>990.37</v>
      </c>
      <c r="L561" s="3">
        <f t="shared" si="8"/>
        <v>0.20955776555226407</v>
      </c>
    </row>
    <row r="562" spans="1:12" x14ac:dyDescent="0.3">
      <c r="A562" s="5" t="s">
        <v>326</v>
      </c>
      <c r="B562" t="s">
        <v>34</v>
      </c>
      <c r="C562">
        <v>2025</v>
      </c>
      <c r="D562" t="s">
        <v>32</v>
      </c>
      <c r="E562" t="s">
        <v>49</v>
      </c>
      <c r="F562" t="s">
        <v>42</v>
      </c>
      <c r="G562" t="s">
        <v>20</v>
      </c>
      <c r="H562">
        <v>17</v>
      </c>
      <c r="I562">
        <v>7378</v>
      </c>
      <c r="J562">
        <v>15837</v>
      </c>
      <c r="K562">
        <v>1789.37</v>
      </c>
      <c r="L562" s="3">
        <f t="shared" si="8"/>
        <v>0.24252778530767144</v>
      </c>
    </row>
    <row r="563" spans="1:12" x14ac:dyDescent="0.3">
      <c r="A563" s="5" t="s">
        <v>285</v>
      </c>
      <c r="B563" t="s">
        <v>48</v>
      </c>
      <c r="C563">
        <v>2025</v>
      </c>
      <c r="D563" t="s">
        <v>18</v>
      </c>
      <c r="E563" t="s">
        <v>60</v>
      </c>
      <c r="F563" t="s">
        <v>29</v>
      </c>
      <c r="G563" t="s">
        <v>20</v>
      </c>
      <c r="H563">
        <v>2</v>
      </c>
      <c r="I563">
        <v>680</v>
      </c>
      <c r="J563">
        <v>11209</v>
      </c>
      <c r="K563">
        <v>128.52000000000001</v>
      </c>
      <c r="L563" s="3">
        <f t="shared" si="8"/>
        <v>0.189</v>
      </c>
    </row>
    <row r="564" spans="1:12" x14ac:dyDescent="0.3">
      <c r="A564" s="5" t="s">
        <v>269</v>
      </c>
      <c r="B564" t="s">
        <v>34</v>
      </c>
      <c r="C564">
        <v>2025</v>
      </c>
      <c r="D564" t="s">
        <v>18</v>
      </c>
      <c r="E564" t="s">
        <v>28</v>
      </c>
      <c r="F564" t="s">
        <v>35</v>
      </c>
      <c r="G564" t="s">
        <v>20</v>
      </c>
      <c r="H564">
        <v>1</v>
      </c>
      <c r="I564">
        <v>1087</v>
      </c>
      <c r="J564">
        <v>18557</v>
      </c>
      <c r="K564">
        <v>303.10000000000002</v>
      </c>
      <c r="L564" s="3">
        <f t="shared" si="8"/>
        <v>0.27884084636614537</v>
      </c>
    </row>
    <row r="565" spans="1:12" x14ac:dyDescent="0.3">
      <c r="A565" s="5" t="s">
        <v>270</v>
      </c>
      <c r="B565" t="s">
        <v>37</v>
      </c>
      <c r="C565">
        <v>2025</v>
      </c>
      <c r="D565" t="s">
        <v>23</v>
      </c>
      <c r="E565" t="s">
        <v>49</v>
      </c>
      <c r="F565" t="s">
        <v>19</v>
      </c>
      <c r="G565" t="s">
        <v>20</v>
      </c>
      <c r="H565">
        <v>7</v>
      </c>
      <c r="I565">
        <v>9170</v>
      </c>
      <c r="J565">
        <v>15596</v>
      </c>
      <c r="K565">
        <v>957.43</v>
      </c>
      <c r="L565" s="3">
        <f t="shared" si="8"/>
        <v>0.10440894220283532</v>
      </c>
    </row>
    <row r="566" spans="1:12" x14ac:dyDescent="0.3">
      <c r="A566" s="5" t="s">
        <v>327</v>
      </c>
      <c r="B566" t="s">
        <v>45</v>
      </c>
      <c r="C566">
        <v>2025</v>
      </c>
      <c r="D566" t="s">
        <v>23</v>
      </c>
      <c r="E566" t="s">
        <v>28</v>
      </c>
      <c r="F566" t="s">
        <v>29</v>
      </c>
      <c r="G566" t="s">
        <v>20</v>
      </c>
      <c r="H566">
        <v>10</v>
      </c>
      <c r="I566">
        <v>7940</v>
      </c>
      <c r="J566">
        <v>5694</v>
      </c>
      <c r="K566">
        <v>859.45</v>
      </c>
      <c r="L566" s="3">
        <f t="shared" si="8"/>
        <v>0.10824307304785895</v>
      </c>
    </row>
    <row r="567" spans="1:12" x14ac:dyDescent="0.3">
      <c r="A567" s="5" t="s">
        <v>120</v>
      </c>
      <c r="B567" t="s">
        <v>37</v>
      </c>
      <c r="C567">
        <v>2025</v>
      </c>
      <c r="D567" t="s">
        <v>18</v>
      </c>
      <c r="E567" t="s">
        <v>60</v>
      </c>
      <c r="F567" t="s">
        <v>29</v>
      </c>
      <c r="G567" t="s">
        <v>20</v>
      </c>
      <c r="H567">
        <v>7</v>
      </c>
      <c r="I567">
        <v>2016</v>
      </c>
      <c r="J567">
        <v>11033</v>
      </c>
      <c r="K567">
        <v>399.25</v>
      </c>
      <c r="L567" s="3">
        <f t="shared" si="8"/>
        <v>0.19804067460317459</v>
      </c>
    </row>
    <row r="568" spans="1:12" x14ac:dyDescent="0.3">
      <c r="A568" s="5" t="s">
        <v>250</v>
      </c>
      <c r="B568" t="s">
        <v>57</v>
      </c>
      <c r="C568">
        <v>2025</v>
      </c>
      <c r="D568" t="s">
        <v>18</v>
      </c>
      <c r="E568" t="s">
        <v>49</v>
      </c>
      <c r="F568" t="s">
        <v>29</v>
      </c>
      <c r="G568" t="s">
        <v>20</v>
      </c>
      <c r="H568">
        <v>12</v>
      </c>
      <c r="I568">
        <v>12492</v>
      </c>
      <c r="J568">
        <v>15393</v>
      </c>
      <c r="K568">
        <v>2193.44</v>
      </c>
      <c r="L568" s="3">
        <f t="shared" si="8"/>
        <v>0.17558757604867115</v>
      </c>
    </row>
    <row r="569" spans="1:12" x14ac:dyDescent="0.3">
      <c r="A569" s="5" t="s">
        <v>166</v>
      </c>
      <c r="B569" t="s">
        <v>85</v>
      </c>
      <c r="C569">
        <v>2025</v>
      </c>
      <c r="D569" t="s">
        <v>18</v>
      </c>
      <c r="E569" t="s">
        <v>60</v>
      </c>
      <c r="F569" t="s">
        <v>19</v>
      </c>
      <c r="G569" t="s">
        <v>20</v>
      </c>
      <c r="H569">
        <v>20</v>
      </c>
      <c r="I569">
        <v>9500</v>
      </c>
      <c r="J569">
        <v>6895</v>
      </c>
      <c r="K569">
        <v>1619.37</v>
      </c>
      <c r="L569" s="3">
        <f t="shared" si="8"/>
        <v>0.17046</v>
      </c>
    </row>
    <row r="570" spans="1:12" x14ac:dyDescent="0.3">
      <c r="A570" s="5" t="s">
        <v>145</v>
      </c>
      <c r="B570" t="s">
        <v>34</v>
      </c>
      <c r="C570">
        <v>2025</v>
      </c>
      <c r="D570" t="s">
        <v>13</v>
      </c>
      <c r="E570" t="s">
        <v>49</v>
      </c>
      <c r="F570" t="s">
        <v>19</v>
      </c>
      <c r="G570" t="s">
        <v>20</v>
      </c>
      <c r="H570">
        <v>4</v>
      </c>
      <c r="I570">
        <v>2608</v>
      </c>
      <c r="J570">
        <v>8421</v>
      </c>
      <c r="K570">
        <v>271.69</v>
      </c>
      <c r="L570" s="3">
        <f t="shared" si="8"/>
        <v>0.10417561349693251</v>
      </c>
    </row>
    <row r="571" spans="1:12" x14ac:dyDescent="0.3">
      <c r="A571" s="5" t="s">
        <v>91</v>
      </c>
      <c r="B571" t="s">
        <v>39</v>
      </c>
      <c r="C571">
        <v>2025</v>
      </c>
      <c r="D571" t="s">
        <v>13</v>
      </c>
      <c r="E571" t="s">
        <v>26</v>
      </c>
      <c r="F571" t="s">
        <v>19</v>
      </c>
      <c r="G571" t="s">
        <v>20</v>
      </c>
      <c r="H571">
        <v>16</v>
      </c>
      <c r="I571">
        <v>16448</v>
      </c>
      <c r="J571">
        <v>17749</v>
      </c>
      <c r="K571">
        <v>3158.8</v>
      </c>
      <c r="L571" s="3">
        <f t="shared" si="8"/>
        <v>0.19204766536964982</v>
      </c>
    </row>
    <row r="572" spans="1:12" x14ac:dyDescent="0.3">
      <c r="A572" s="5" t="s">
        <v>328</v>
      </c>
      <c r="B572" t="s">
        <v>12</v>
      </c>
      <c r="C572">
        <v>2025</v>
      </c>
      <c r="D572" t="s">
        <v>32</v>
      </c>
      <c r="E572" t="s">
        <v>60</v>
      </c>
      <c r="F572" t="s">
        <v>15</v>
      </c>
      <c r="G572" t="s">
        <v>16</v>
      </c>
      <c r="H572">
        <v>12</v>
      </c>
      <c r="I572">
        <v>13056</v>
      </c>
      <c r="J572">
        <v>10771</v>
      </c>
      <c r="K572">
        <v>3601.46</v>
      </c>
      <c r="L572" s="3">
        <f t="shared" si="8"/>
        <v>0.27584712009803924</v>
      </c>
    </row>
    <row r="573" spans="1:12" x14ac:dyDescent="0.3">
      <c r="A573" s="5" t="s">
        <v>262</v>
      </c>
      <c r="B573" t="s">
        <v>31</v>
      </c>
      <c r="C573">
        <v>2025</v>
      </c>
      <c r="D573" t="s">
        <v>13</v>
      </c>
      <c r="E573" t="s">
        <v>26</v>
      </c>
      <c r="F573" t="s">
        <v>35</v>
      </c>
      <c r="G573" t="s">
        <v>20</v>
      </c>
      <c r="H573">
        <v>18</v>
      </c>
      <c r="I573">
        <v>18918</v>
      </c>
      <c r="J573">
        <v>5903</v>
      </c>
      <c r="K573">
        <v>1981.31</v>
      </c>
      <c r="L573" s="3">
        <f t="shared" si="8"/>
        <v>0.10473147267152975</v>
      </c>
    </row>
    <row r="574" spans="1:12" x14ac:dyDescent="0.3">
      <c r="A574" s="5" t="s">
        <v>229</v>
      </c>
      <c r="B574" t="s">
        <v>85</v>
      </c>
      <c r="C574">
        <v>2025</v>
      </c>
      <c r="D574" t="s">
        <v>18</v>
      </c>
      <c r="E574" t="s">
        <v>14</v>
      </c>
      <c r="F574" t="s">
        <v>19</v>
      </c>
      <c r="G574" t="s">
        <v>20</v>
      </c>
      <c r="H574">
        <v>10</v>
      </c>
      <c r="I574">
        <v>3790</v>
      </c>
      <c r="J574">
        <v>10979</v>
      </c>
      <c r="K574">
        <v>437.4</v>
      </c>
      <c r="L574" s="3">
        <f t="shared" si="8"/>
        <v>0.11540897097625329</v>
      </c>
    </row>
    <row r="575" spans="1:12" x14ac:dyDescent="0.3">
      <c r="A575" s="5" t="s">
        <v>329</v>
      </c>
      <c r="B575" t="s">
        <v>39</v>
      </c>
      <c r="C575">
        <v>2025</v>
      </c>
      <c r="D575" t="s">
        <v>23</v>
      </c>
      <c r="E575" t="s">
        <v>14</v>
      </c>
      <c r="F575" t="s">
        <v>62</v>
      </c>
      <c r="G575" t="s">
        <v>63</v>
      </c>
      <c r="H575">
        <v>16</v>
      </c>
      <c r="I575">
        <v>15232</v>
      </c>
      <c r="J575">
        <v>9147</v>
      </c>
      <c r="K575">
        <v>2631.92</v>
      </c>
      <c r="L575" s="3">
        <f t="shared" si="8"/>
        <v>0.1727888655462185</v>
      </c>
    </row>
    <row r="576" spans="1:12" x14ac:dyDescent="0.3">
      <c r="A576" s="5" t="s">
        <v>139</v>
      </c>
      <c r="B576" t="s">
        <v>57</v>
      </c>
      <c r="C576">
        <v>2025</v>
      </c>
      <c r="D576" t="s">
        <v>23</v>
      </c>
      <c r="E576" t="s">
        <v>49</v>
      </c>
      <c r="F576" t="s">
        <v>42</v>
      </c>
      <c r="G576" t="s">
        <v>20</v>
      </c>
      <c r="H576">
        <v>20</v>
      </c>
      <c r="I576">
        <v>7300</v>
      </c>
      <c r="J576">
        <v>13532</v>
      </c>
      <c r="K576">
        <v>1184.51</v>
      </c>
      <c r="L576" s="3">
        <f t="shared" si="8"/>
        <v>0.16226164383561645</v>
      </c>
    </row>
    <row r="577" spans="1:12" x14ac:dyDescent="0.3">
      <c r="A577" s="5" t="s">
        <v>110</v>
      </c>
      <c r="B577" t="s">
        <v>37</v>
      </c>
      <c r="C577">
        <v>2025</v>
      </c>
      <c r="D577" t="s">
        <v>18</v>
      </c>
      <c r="E577" t="s">
        <v>60</v>
      </c>
      <c r="F577" t="s">
        <v>42</v>
      </c>
      <c r="G577" t="s">
        <v>20</v>
      </c>
      <c r="H577">
        <v>11</v>
      </c>
      <c r="I577">
        <v>6094</v>
      </c>
      <c r="J577">
        <v>6110</v>
      </c>
      <c r="K577">
        <v>1595.9</v>
      </c>
      <c r="L577" s="3">
        <f t="shared" si="8"/>
        <v>0.26188053823432889</v>
      </c>
    </row>
    <row r="578" spans="1:12" x14ac:dyDescent="0.3">
      <c r="A578" s="5" t="s">
        <v>330</v>
      </c>
      <c r="B578" t="s">
        <v>12</v>
      </c>
      <c r="C578">
        <v>2025</v>
      </c>
      <c r="D578" t="s">
        <v>13</v>
      </c>
      <c r="E578" t="s">
        <v>28</v>
      </c>
      <c r="F578" t="s">
        <v>35</v>
      </c>
      <c r="G578" t="s">
        <v>20</v>
      </c>
      <c r="H578">
        <v>6</v>
      </c>
      <c r="I578">
        <v>2514</v>
      </c>
      <c r="J578">
        <v>13408</v>
      </c>
      <c r="K578">
        <v>646.03</v>
      </c>
      <c r="L578" s="3">
        <f t="shared" si="8"/>
        <v>0.25697295147175814</v>
      </c>
    </row>
    <row r="579" spans="1:12" x14ac:dyDescent="0.3">
      <c r="A579" s="5" t="s">
        <v>331</v>
      </c>
      <c r="B579" t="s">
        <v>31</v>
      </c>
      <c r="C579">
        <v>2025</v>
      </c>
      <c r="D579" t="s">
        <v>18</v>
      </c>
      <c r="E579" t="s">
        <v>26</v>
      </c>
      <c r="F579" t="s">
        <v>29</v>
      </c>
      <c r="G579" t="s">
        <v>20</v>
      </c>
      <c r="H579">
        <v>1</v>
      </c>
      <c r="I579">
        <v>360</v>
      </c>
      <c r="J579">
        <v>17621</v>
      </c>
      <c r="K579">
        <v>67.11</v>
      </c>
      <c r="L579" s="3">
        <f t="shared" ref="L579:L642" si="9">K579/I579</f>
        <v>0.18641666666666667</v>
      </c>
    </row>
    <row r="580" spans="1:12" x14ac:dyDescent="0.3">
      <c r="A580" s="5" t="s">
        <v>331</v>
      </c>
      <c r="B580" t="s">
        <v>31</v>
      </c>
      <c r="C580">
        <v>2025</v>
      </c>
      <c r="D580" t="s">
        <v>18</v>
      </c>
      <c r="E580" t="s">
        <v>60</v>
      </c>
      <c r="F580" t="s">
        <v>15</v>
      </c>
      <c r="G580" t="s">
        <v>16</v>
      </c>
      <c r="H580">
        <v>18</v>
      </c>
      <c r="I580">
        <v>24174</v>
      </c>
      <c r="J580">
        <v>12475</v>
      </c>
      <c r="K580">
        <v>5785.62</v>
      </c>
      <c r="L580" s="3">
        <f t="shared" si="9"/>
        <v>0.23933234053114916</v>
      </c>
    </row>
    <row r="581" spans="1:12" x14ac:dyDescent="0.3">
      <c r="A581" s="5" t="s">
        <v>75</v>
      </c>
      <c r="B581" t="s">
        <v>31</v>
      </c>
      <c r="C581">
        <v>2025</v>
      </c>
      <c r="D581" t="s">
        <v>13</v>
      </c>
      <c r="E581" t="s">
        <v>26</v>
      </c>
      <c r="F581" t="s">
        <v>62</v>
      </c>
      <c r="G581" t="s">
        <v>63</v>
      </c>
      <c r="H581">
        <v>20</v>
      </c>
      <c r="I581">
        <v>18540</v>
      </c>
      <c r="J581">
        <v>13444</v>
      </c>
      <c r="K581">
        <v>5273.15</v>
      </c>
      <c r="L581" s="3">
        <f t="shared" si="9"/>
        <v>0.28442017259978425</v>
      </c>
    </row>
    <row r="582" spans="1:12" x14ac:dyDescent="0.3">
      <c r="A582" s="5" t="s">
        <v>249</v>
      </c>
      <c r="B582" t="s">
        <v>39</v>
      </c>
      <c r="C582">
        <v>2025</v>
      </c>
      <c r="D582" t="s">
        <v>18</v>
      </c>
      <c r="E582" t="s">
        <v>14</v>
      </c>
      <c r="F582" t="s">
        <v>29</v>
      </c>
      <c r="G582" t="s">
        <v>20</v>
      </c>
      <c r="H582">
        <v>18</v>
      </c>
      <c r="I582">
        <v>15948</v>
      </c>
      <c r="J582">
        <v>7175</v>
      </c>
      <c r="K582">
        <v>2444.84</v>
      </c>
      <c r="L582" s="3">
        <f t="shared" si="9"/>
        <v>0.1533007273639328</v>
      </c>
    </row>
    <row r="583" spans="1:12" x14ac:dyDescent="0.3">
      <c r="A583" s="5" t="s">
        <v>159</v>
      </c>
      <c r="B583" t="s">
        <v>12</v>
      </c>
      <c r="C583">
        <v>2025</v>
      </c>
      <c r="D583" t="s">
        <v>23</v>
      </c>
      <c r="E583" t="s">
        <v>26</v>
      </c>
      <c r="F583" t="s">
        <v>15</v>
      </c>
      <c r="G583" t="s">
        <v>16</v>
      </c>
      <c r="H583">
        <v>10</v>
      </c>
      <c r="I583">
        <v>1910</v>
      </c>
      <c r="J583">
        <v>19905</v>
      </c>
      <c r="K583">
        <v>428.1</v>
      </c>
      <c r="L583" s="3">
        <f t="shared" si="9"/>
        <v>0.22413612565445026</v>
      </c>
    </row>
    <row r="584" spans="1:12" x14ac:dyDescent="0.3">
      <c r="A584" s="5" t="s">
        <v>100</v>
      </c>
      <c r="B584" t="s">
        <v>39</v>
      </c>
      <c r="C584">
        <v>2025</v>
      </c>
      <c r="D584" t="s">
        <v>13</v>
      </c>
      <c r="E584" t="s">
        <v>49</v>
      </c>
      <c r="F584" t="s">
        <v>15</v>
      </c>
      <c r="G584" t="s">
        <v>16</v>
      </c>
      <c r="H584">
        <v>19</v>
      </c>
      <c r="I584">
        <v>27683</v>
      </c>
      <c r="J584">
        <v>6443</v>
      </c>
      <c r="K584">
        <v>5882.85</v>
      </c>
      <c r="L584" s="3">
        <f t="shared" si="9"/>
        <v>0.21250767619116426</v>
      </c>
    </row>
    <row r="585" spans="1:12" x14ac:dyDescent="0.3">
      <c r="A585" s="5" t="s">
        <v>173</v>
      </c>
      <c r="B585" t="s">
        <v>31</v>
      </c>
      <c r="C585">
        <v>2025</v>
      </c>
      <c r="D585" t="s">
        <v>23</v>
      </c>
      <c r="E585" t="s">
        <v>14</v>
      </c>
      <c r="F585" t="s">
        <v>42</v>
      </c>
      <c r="G585" t="s">
        <v>20</v>
      </c>
      <c r="H585">
        <v>18</v>
      </c>
      <c r="I585">
        <v>3132</v>
      </c>
      <c r="J585">
        <v>10600</v>
      </c>
      <c r="K585">
        <v>568.27</v>
      </c>
      <c r="L585" s="3">
        <f t="shared" si="9"/>
        <v>0.18143997445721582</v>
      </c>
    </row>
    <row r="586" spans="1:12" x14ac:dyDescent="0.3">
      <c r="A586" s="5" t="s">
        <v>238</v>
      </c>
      <c r="B586" t="s">
        <v>41</v>
      </c>
      <c r="C586">
        <v>2025</v>
      </c>
      <c r="D586" t="s">
        <v>32</v>
      </c>
      <c r="E586" t="s">
        <v>60</v>
      </c>
      <c r="F586" t="s">
        <v>15</v>
      </c>
      <c r="G586" t="s">
        <v>16</v>
      </c>
      <c r="H586">
        <v>17</v>
      </c>
      <c r="I586">
        <v>5066</v>
      </c>
      <c r="J586">
        <v>8613</v>
      </c>
      <c r="K586">
        <v>513.82000000000005</v>
      </c>
      <c r="L586" s="3">
        <f t="shared" si="9"/>
        <v>0.1014251875246743</v>
      </c>
    </row>
    <row r="587" spans="1:12" x14ac:dyDescent="0.3">
      <c r="A587" s="5" t="s">
        <v>308</v>
      </c>
      <c r="B587" t="s">
        <v>22</v>
      </c>
      <c r="C587">
        <v>2025</v>
      </c>
      <c r="D587" t="s">
        <v>13</v>
      </c>
      <c r="E587" t="s">
        <v>60</v>
      </c>
      <c r="F587" t="s">
        <v>19</v>
      </c>
      <c r="G587" t="s">
        <v>20</v>
      </c>
      <c r="H587">
        <v>5</v>
      </c>
      <c r="I587">
        <v>2665</v>
      </c>
      <c r="J587">
        <v>9450</v>
      </c>
      <c r="K587">
        <v>271.58999999999997</v>
      </c>
      <c r="L587" s="3">
        <f t="shared" si="9"/>
        <v>0.10190994371482176</v>
      </c>
    </row>
    <row r="588" spans="1:12" x14ac:dyDescent="0.3">
      <c r="A588" s="5" t="s">
        <v>76</v>
      </c>
      <c r="B588" t="s">
        <v>34</v>
      </c>
      <c r="C588">
        <v>2025</v>
      </c>
      <c r="D588" t="s">
        <v>18</v>
      </c>
      <c r="E588" t="s">
        <v>14</v>
      </c>
      <c r="F588" t="s">
        <v>29</v>
      </c>
      <c r="G588" t="s">
        <v>20</v>
      </c>
      <c r="H588">
        <v>7</v>
      </c>
      <c r="I588">
        <v>6713</v>
      </c>
      <c r="J588">
        <v>11091</v>
      </c>
      <c r="K588">
        <v>1478.2</v>
      </c>
      <c r="L588" s="3">
        <f t="shared" si="9"/>
        <v>0.22019961269179206</v>
      </c>
    </row>
    <row r="589" spans="1:12" x14ac:dyDescent="0.3">
      <c r="A589" s="5" t="s">
        <v>224</v>
      </c>
      <c r="B589" t="s">
        <v>41</v>
      </c>
      <c r="C589">
        <v>2025</v>
      </c>
      <c r="D589" t="s">
        <v>23</v>
      </c>
      <c r="E589" t="s">
        <v>49</v>
      </c>
      <c r="F589" t="s">
        <v>29</v>
      </c>
      <c r="G589" t="s">
        <v>20</v>
      </c>
      <c r="H589">
        <v>3</v>
      </c>
      <c r="I589">
        <v>483</v>
      </c>
      <c r="J589">
        <v>6511</v>
      </c>
      <c r="K589">
        <v>108.89</v>
      </c>
      <c r="L589" s="3">
        <f t="shared" si="9"/>
        <v>0.22544513457556936</v>
      </c>
    </row>
    <row r="590" spans="1:12" x14ac:dyDescent="0.3">
      <c r="A590" s="5" t="s">
        <v>332</v>
      </c>
      <c r="B590" t="s">
        <v>48</v>
      </c>
      <c r="C590">
        <v>2025</v>
      </c>
      <c r="D590" t="s">
        <v>32</v>
      </c>
      <c r="E590" t="s">
        <v>60</v>
      </c>
      <c r="F590" t="s">
        <v>15</v>
      </c>
      <c r="G590" t="s">
        <v>16</v>
      </c>
      <c r="H590">
        <v>8</v>
      </c>
      <c r="I590">
        <v>8368</v>
      </c>
      <c r="J590">
        <v>8800</v>
      </c>
      <c r="K590">
        <v>1379.84</v>
      </c>
      <c r="L590" s="3">
        <f t="shared" si="9"/>
        <v>0.16489483747609943</v>
      </c>
    </row>
    <row r="591" spans="1:12" x14ac:dyDescent="0.3">
      <c r="A591" s="5" t="s">
        <v>245</v>
      </c>
      <c r="B591" t="s">
        <v>85</v>
      </c>
      <c r="C591">
        <v>2025</v>
      </c>
      <c r="D591" t="s">
        <v>13</v>
      </c>
      <c r="E591" t="s">
        <v>28</v>
      </c>
      <c r="F591" t="s">
        <v>19</v>
      </c>
      <c r="G591" t="s">
        <v>20</v>
      </c>
      <c r="H591">
        <v>1</v>
      </c>
      <c r="I591">
        <v>1492</v>
      </c>
      <c r="J591">
        <v>6889</v>
      </c>
      <c r="K591">
        <v>288.11</v>
      </c>
      <c r="L591" s="3">
        <f t="shared" si="9"/>
        <v>0.19310321715817697</v>
      </c>
    </row>
    <row r="592" spans="1:12" x14ac:dyDescent="0.3">
      <c r="A592" s="5" t="s">
        <v>75</v>
      </c>
      <c r="B592" t="s">
        <v>31</v>
      </c>
      <c r="C592">
        <v>2025</v>
      </c>
      <c r="D592" t="s">
        <v>13</v>
      </c>
      <c r="E592" t="s">
        <v>26</v>
      </c>
      <c r="F592" t="s">
        <v>35</v>
      </c>
      <c r="G592" t="s">
        <v>20</v>
      </c>
      <c r="H592">
        <v>7</v>
      </c>
      <c r="I592">
        <v>2562</v>
      </c>
      <c r="J592">
        <v>19606</v>
      </c>
      <c r="K592">
        <v>728.02</v>
      </c>
      <c r="L592" s="3">
        <f t="shared" si="9"/>
        <v>0.28416081186572989</v>
      </c>
    </row>
    <row r="593" spans="1:12" x14ac:dyDescent="0.3">
      <c r="A593" s="5" t="s">
        <v>322</v>
      </c>
      <c r="B593" t="s">
        <v>45</v>
      </c>
      <c r="C593">
        <v>2025</v>
      </c>
      <c r="D593" t="s">
        <v>18</v>
      </c>
      <c r="E593" t="s">
        <v>28</v>
      </c>
      <c r="F593" t="s">
        <v>42</v>
      </c>
      <c r="G593" t="s">
        <v>20</v>
      </c>
      <c r="H593">
        <v>17</v>
      </c>
      <c r="I593">
        <v>15011</v>
      </c>
      <c r="J593">
        <v>19482</v>
      </c>
      <c r="K593">
        <v>2557.9499999999998</v>
      </c>
      <c r="L593" s="3">
        <f t="shared" si="9"/>
        <v>0.17040503630670839</v>
      </c>
    </row>
    <row r="594" spans="1:12" x14ac:dyDescent="0.3">
      <c r="A594" s="5" t="s">
        <v>333</v>
      </c>
      <c r="B594" t="s">
        <v>31</v>
      </c>
      <c r="C594">
        <v>2025</v>
      </c>
      <c r="D594" t="s">
        <v>18</v>
      </c>
      <c r="E594" t="s">
        <v>49</v>
      </c>
      <c r="F594" t="s">
        <v>15</v>
      </c>
      <c r="G594" t="s">
        <v>16</v>
      </c>
      <c r="H594">
        <v>18</v>
      </c>
      <c r="I594">
        <v>3582</v>
      </c>
      <c r="J594">
        <v>18654</v>
      </c>
      <c r="K594">
        <v>574.63</v>
      </c>
      <c r="L594" s="3">
        <f t="shared" si="9"/>
        <v>0.1604215522054718</v>
      </c>
    </row>
    <row r="595" spans="1:12" x14ac:dyDescent="0.3">
      <c r="A595" s="5" t="s">
        <v>334</v>
      </c>
      <c r="B595" t="s">
        <v>12</v>
      </c>
      <c r="C595">
        <v>2025</v>
      </c>
      <c r="D595" t="s">
        <v>18</v>
      </c>
      <c r="E595" t="s">
        <v>14</v>
      </c>
      <c r="F595" t="s">
        <v>19</v>
      </c>
      <c r="G595" t="s">
        <v>20</v>
      </c>
      <c r="H595">
        <v>4</v>
      </c>
      <c r="I595">
        <v>776</v>
      </c>
      <c r="J595">
        <v>17259</v>
      </c>
      <c r="K595">
        <v>98.95</v>
      </c>
      <c r="L595" s="3">
        <f t="shared" si="9"/>
        <v>0.12751288659793814</v>
      </c>
    </row>
    <row r="596" spans="1:12" x14ac:dyDescent="0.3">
      <c r="A596" s="5" t="s">
        <v>146</v>
      </c>
      <c r="B596" t="s">
        <v>85</v>
      </c>
      <c r="C596">
        <v>2025</v>
      </c>
      <c r="D596" t="s">
        <v>13</v>
      </c>
      <c r="E596" t="s">
        <v>14</v>
      </c>
      <c r="F596" t="s">
        <v>15</v>
      </c>
      <c r="G596" t="s">
        <v>16</v>
      </c>
      <c r="H596">
        <v>17</v>
      </c>
      <c r="I596">
        <v>12257</v>
      </c>
      <c r="J596">
        <v>9552</v>
      </c>
      <c r="K596">
        <v>2767.78</v>
      </c>
      <c r="L596" s="3">
        <f t="shared" si="9"/>
        <v>0.22581218895325122</v>
      </c>
    </row>
    <row r="597" spans="1:12" x14ac:dyDescent="0.3">
      <c r="A597" s="5" t="s">
        <v>171</v>
      </c>
      <c r="B597" t="s">
        <v>85</v>
      </c>
      <c r="C597">
        <v>2025</v>
      </c>
      <c r="D597" t="s">
        <v>13</v>
      </c>
      <c r="E597" t="s">
        <v>28</v>
      </c>
      <c r="F597" t="s">
        <v>62</v>
      </c>
      <c r="G597" t="s">
        <v>63</v>
      </c>
      <c r="H597">
        <v>2</v>
      </c>
      <c r="I597">
        <v>2672</v>
      </c>
      <c r="J597">
        <v>10208</v>
      </c>
      <c r="K597">
        <v>598.80999999999995</v>
      </c>
      <c r="L597" s="3">
        <f t="shared" si="9"/>
        <v>0.22410553892215568</v>
      </c>
    </row>
    <row r="598" spans="1:12" x14ac:dyDescent="0.3">
      <c r="A598" s="5" t="s">
        <v>38</v>
      </c>
      <c r="B598" t="s">
        <v>39</v>
      </c>
      <c r="C598">
        <v>2025</v>
      </c>
      <c r="D598" t="s">
        <v>18</v>
      </c>
      <c r="E598" t="s">
        <v>28</v>
      </c>
      <c r="F598" t="s">
        <v>42</v>
      </c>
      <c r="G598" t="s">
        <v>20</v>
      </c>
      <c r="H598">
        <v>6</v>
      </c>
      <c r="I598">
        <v>4422</v>
      </c>
      <c r="J598">
        <v>18418</v>
      </c>
      <c r="K598">
        <v>496.25</v>
      </c>
      <c r="L598" s="3">
        <f t="shared" si="9"/>
        <v>0.11222297602894618</v>
      </c>
    </row>
    <row r="599" spans="1:12" x14ac:dyDescent="0.3">
      <c r="A599" s="5" t="s">
        <v>324</v>
      </c>
      <c r="B599" t="s">
        <v>41</v>
      </c>
      <c r="C599">
        <v>2025</v>
      </c>
      <c r="D599" t="s">
        <v>18</v>
      </c>
      <c r="E599" t="s">
        <v>49</v>
      </c>
      <c r="F599" t="s">
        <v>19</v>
      </c>
      <c r="G599" t="s">
        <v>20</v>
      </c>
      <c r="H599">
        <v>5</v>
      </c>
      <c r="I599">
        <v>3605</v>
      </c>
      <c r="J599">
        <v>10567</v>
      </c>
      <c r="K599">
        <v>504.85</v>
      </c>
      <c r="L599" s="3">
        <f t="shared" si="9"/>
        <v>0.14004160887656034</v>
      </c>
    </row>
    <row r="600" spans="1:12" x14ac:dyDescent="0.3">
      <c r="A600" s="5" t="s">
        <v>134</v>
      </c>
      <c r="B600" t="s">
        <v>45</v>
      </c>
      <c r="C600">
        <v>2025</v>
      </c>
      <c r="D600" t="s">
        <v>13</v>
      </c>
      <c r="E600" t="s">
        <v>26</v>
      </c>
      <c r="F600" t="s">
        <v>62</v>
      </c>
      <c r="G600" t="s">
        <v>63</v>
      </c>
      <c r="H600">
        <v>20</v>
      </c>
      <c r="I600">
        <v>20020</v>
      </c>
      <c r="J600">
        <v>9606</v>
      </c>
      <c r="K600">
        <v>2649.32</v>
      </c>
      <c r="L600" s="3">
        <f t="shared" si="9"/>
        <v>0.13233366633366633</v>
      </c>
    </row>
    <row r="601" spans="1:12" x14ac:dyDescent="0.3">
      <c r="A601" s="5" t="s">
        <v>335</v>
      </c>
      <c r="B601" t="s">
        <v>41</v>
      </c>
      <c r="C601">
        <v>2025</v>
      </c>
      <c r="D601" t="s">
        <v>32</v>
      </c>
      <c r="E601" t="s">
        <v>49</v>
      </c>
      <c r="F601" t="s">
        <v>62</v>
      </c>
      <c r="G601" t="s">
        <v>63</v>
      </c>
      <c r="H601">
        <v>10</v>
      </c>
      <c r="I601">
        <v>1770</v>
      </c>
      <c r="J601">
        <v>18390</v>
      </c>
      <c r="K601">
        <v>283.07</v>
      </c>
      <c r="L601" s="3">
        <f t="shared" si="9"/>
        <v>0.15992655367231637</v>
      </c>
    </row>
    <row r="602" spans="1:12" x14ac:dyDescent="0.3">
      <c r="A602" s="5" t="s">
        <v>110</v>
      </c>
      <c r="B602" t="s">
        <v>37</v>
      </c>
      <c r="C602">
        <v>2025</v>
      </c>
      <c r="D602" t="s">
        <v>13</v>
      </c>
      <c r="E602" t="s">
        <v>49</v>
      </c>
      <c r="F602" t="s">
        <v>62</v>
      </c>
      <c r="G602" t="s">
        <v>63</v>
      </c>
      <c r="H602">
        <v>17</v>
      </c>
      <c r="I602">
        <v>22712</v>
      </c>
      <c r="J602">
        <v>17270</v>
      </c>
      <c r="K602">
        <v>6777.3</v>
      </c>
      <c r="L602" s="3">
        <f t="shared" si="9"/>
        <v>0.29840172595984504</v>
      </c>
    </row>
    <row r="603" spans="1:12" x14ac:dyDescent="0.3">
      <c r="A603" s="5" t="s">
        <v>299</v>
      </c>
      <c r="B603" t="s">
        <v>39</v>
      </c>
      <c r="C603">
        <v>2025</v>
      </c>
      <c r="D603" t="s">
        <v>18</v>
      </c>
      <c r="E603" t="s">
        <v>60</v>
      </c>
      <c r="F603" t="s">
        <v>35</v>
      </c>
      <c r="G603" t="s">
        <v>20</v>
      </c>
      <c r="H603">
        <v>11</v>
      </c>
      <c r="I603">
        <v>14784</v>
      </c>
      <c r="J603">
        <v>12061</v>
      </c>
      <c r="K603">
        <v>1610.02</v>
      </c>
      <c r="L603" s="3">
        <f t="shared" si="9"/>
        <v>0.10890286796536797</v>
      </c>
    </row>
    <row r="604" spans="1:12" x14ac:dyDescent="0.3">
      <c r="A604" s="5" t="s">
        <v>157</v>
      </c>
      <c r="B604" t="s">
        <v>34</v>
      </c>
      <c r="C604">
        <v>2025</v>
      </c>
      <c r="D604" t="s">
        <v>13</v>
      </c>
      <c r="E604" t="s">
        <v>60</v>
      </c>
      <c r="F604" t="s">
        <v>29</v>
      </c>
      <c r="G604" t="s">
        <v>20</v>
      </c>
      <c r="H604">
        <v>6</v>
      </c>
      <c r="I604">
        <v>6576</v>
      </c>
      <c r="J604">
        <v>17099</v>
      </c>
      <c r="K604">
        <v>749.23</v>
      </c>
      <c r="L604" s="3">
        <f t="shared" si="9"/>
        <v>0.11393400243309003</v>
      </c>
    </row>
    <row r="605" spans="1:12" x14ac:dyDescent="0.3">
      <c r="A605" s="5" t="s">
        <v>285</v>
      </c>
      <c r="B605" t="s">
        <v>48</v>
      </c>
      <c r="C605">
        <v>2025</v>
      </c>
      <c r="D605" t="s">
        <v>32</v>
      </c>
      <c r="E605" t="s">
        <v>26</v>
      </c>
      <c r="F605" t="s">
        <v>42</v>
      </c>
      <c r="G605" t="s">
        <v>20</v>
      </c>
      <c r="H605">
        <v>17</v>
      </c>
      <c r="I605">
        <v>17833</v>
      </c>
      <c r="J605">
        <v>14670</v>
      </c>
      <c r="K605">
        <v>2034.61</v>
      </c>
      <c r="L605" s="3">
        <f t="shared" si="9"/>
        <v>0.11409241294229798</v>
      </c>
    </row>
    <row r="606" spans="1:12" x14ac:dyDescent="0.3">
      <c r="A606" s="5" t="s">
        <v>142</v>
      </c>
      <c r="B606" t="s">
        <v>25</v>
      </c>
      <c r="C606">
        <v>2025</v>
      </c>
      <c r="D606" t="s">
        <v>32</v>
      </c>
      <c r="E606" t="s">
        <v>26</v>
      </c>
      <c r="F606" t="s">
        <v>29</v>
      </c>
      <c r="G606" t="s">
        <v>20</v>
      </c>
      <c r="H606">
        <v>19</v>
      </c>
      <c r="I606">
        <v>17043</v>
      </c>
      <c r="J606">
        <v>9496</v>
      </c>
      <c r="K606">
        <v>4227.0600000000004</v>
      </c>
      <c r="L606" s="3">
        <f t="shared" si="9"/>
        <v>0.24802323534588983</v>
      </c>
    </row>
    <row r="607" spans="1:12" x14ac:dyDescent="0.3">
      <c r="A607" s="5" t="s">
        <v>138</v>
      </c>
      <c r="B607" t="s">
        <v>41</v>
      </c>
      <c r="C607">
        <v>2025</v>
      </c>
      <c r="D607" t="s">
        <v>18</v>
      </c>
      <c r="E607" t="s">
        <v>49</v>
      </c>
      <c r="F607" t="s">
        <v>62</v>
      </c>
      <c r="G607" t="s">
        <v>63</v>
      </c>
      <c r="H607">
        <v>6</v>
      </c>
      <c r="I607">
        <v>1746</v>
      </c>
      <c r="J607">
        <v>11890</v>
      </c>
      <c r="K607">
        <v>516.85</v>
      </c>
      <c r="L607" s="3">
        <f t="shared" si="9"/>
        <v>0.29601947308132875</v>
      </c>
    </row>
    <row r="608" spans="1:12" x14ac:dyDescent="0.3">
      <c r="A608" s="5" t="s">
        <v>304</v>
      </c>
      <c r="B608" t="s">
        <v>45</v>
      </c>
      <c r="C608">
        <v>2025</v>
      </c>
      <c r="D608" t="s">
        <v>32</v>
      </c>
      <c r="E608" t="s">
        <v>49</v>
      </c>
      <c r="F608" t="s">
        <v>42</v>
      </c>
      <c r="G608" t="s">
        <v>20</v>
      </c>
      <c r="H608">
        <v>17</v>
      </c>
      <c r="I608">
        <v>8449</v>
      </c>
      <c r="J608">
        <v>13239</v>
      </c>
      <c r="K608">
        <v>1590.13</v>
      </c>
      <c r="L608" s="3">
        <f t="shared" si="9"/>
        <v>0.18820333767309741</v>
      </c>
    </row>
    <row r="609" spans="1:12" x14ac:dyDescent="0.3">
      <c r="A609" s="5" t="s">
        <v>283</v>
      </c>
      <c r="B609" t="s">
        <v>25</v>
      </c>
      <c r="C609">
        <v>2025</v>
      </c>
      <c r="D609" t="s">
        <v>32</v>
      </c>
      <c r="E609" t="s">
        <v>26</v>
      </c>
      <c r="F609" t="s">
        <v>19</v>
      </c>
      <c r="G609" t="s">
        <v>20</v>
      </c>
      <c r="H609">
        <v>8</v>
      </c>
      <c r="I609">
        <v>3496</v>
      </c>
      <c r="J609">
        <v>13775</v>
      </c>
      <c r="K609">
        <v>849.45</v>
      </c>
      <c r="L609" s="3">
        <f t="shared" si="9"/>
        <v>0.24297768878718537</v>
      </c>
    </row>
    <row r="610" spans="1:12" x14ac:dyDescent="0.3">
      <c r="A610" s="5" t="s">
        <v>336</v>
      </c>
      <c r="B610" t="s">
        <v>39</v>
      </c>
      <c r="C610">
        <v>2025</v>
      </c>
      <c r="D610" t="s">
        <v>18</v>
      </c>
      <c r="E610" t="s">
        <v>26</v>
      </c>
      <c r="F610" t="s">
        <v>15</v>
      </c>
      <c r="G610" t="s">
        <v>16</v>
      </c>
      <c r="H610">
        <v>1</v>
      </c>
      <c r="I610">
        <v>766</v>
      </c>
      <c r="J610">
        <v>5837</v>
      </c>
      <c r="K610">
        <v>224.76</v>
      </c>
      <c r="L610" s="3">
        <f t="shared" si="9"/>
        <v>0.29342036553524803</v>
      </c>
    </row>
    <row r="611" spans="1:12" x14ac:dyDescent="0.3">
      <c r="A611" s="5" t="s">
        <v>124</v>
      </c>
      <c r="B611" t="s">
        <v>48</v>
      </c>
      <c r="C611">
        <v>2025</v>
      </c>
      <c r="D611" t="s">
        <v>18</v>
      </c>
      <c r="E611" t="s">
        <v>28</v>
      </c>
      <c r="F611" t="s">
        <v>42</v>
      </c>
      <c r="G611" t="s">
        <v>20</v>
      </c>
      <c r="H611">
        <v>8</v>
      </c>
      <c r="I611">
        <v>8496</v>
      </c>
      <c r="J611">
        <v>7120</v>
      </c>
      <c r="K611">
        <v>2119.75</v>
      </c>
      <c r="L611" s="3">
        <f t="shared" si="9"/>
        <v>0.24949976459510359</v>
      </c>
    </row>
    <row r="612" spans="1:12" x14ac:dyDescent="0.3">
      <c r="A612" s="5" t="s">
        <v>145</v>
      </c>
      <c r="B612" t="s">
        <v>34</v>
      </c>
      <c r="C612">
        <v>2025</v>
      </c>
      <c r="D612" t="s">
        <v>13</v>
      </c>
      <c r="E612" t="s">
        <v>14</v>
      </c>
      <c r="F612" t="s">
        <v>62</v>
      </c>
      <c r="G612" t="s">
        <v>63</v>
      </c>
      <c r="H612">
        <v>7</v>
      </c>
      <c r="I612">
        <v>4620</v>
      </c>
      <c r="J612">
        <v>5421</v>
      </c>
      <c r="K612">
        <v>1151.0999999999999</v>
      </c>
      <c r="L612" s="3">
        <f t="shared" si="9"/>
        <v>0.24915584415584413</v>
      </c>
    </row>
    <row r="613" spans="1:12" x14ac:dyDescent="0.3">
      <c r="A613" s="5" t="s">
        <v>300</v>
      </c>
      <c r="B613" t="s">
        <v>34</v>
      </c>
      <c r="C613">
        <v>2025</v>
      </c>
      <c r="D613" t="s">
        <v>32</v>
      </c>
      <c r="E613" t="s">
        <v>26</v>
      </c>
      <c r="F613" t="s">
        <v>35</v>
      </c>
      <c r="G613" t="s">
        <v>20</v>
      </c>
      <c r="H613">
        <v>7</v>
      </c>
      <c r="I613">
        <v>2317</v>
      </c>
      <c r="J613">
        <v>18103</v>
      </c>
      <c r="K613">
        <v>274.3</v>
      </c>
      <c r="L613" s="3">
        <f t="shared" si="9"/>
        <v>0.11838584376348728</v>
      </c>
    </row>
    <row r="614" spans="1:12" x14ac:dyDescent="0.3">
      <c r="A614" s="5" t="s">
        <v>65</v>
      </c>
      <c r="B614" t="s">
        <v>48</v>
      </c>
      <c r="C614">
        <v>2025</v>
      </c>
      <c r="D614" t="s">
        <v>13</v>
      </c>
      <c r="E614" t="s">
        <v>28</v>
      </c>
      <c r="F614" t="s">
        <v>62</v>
      </c>
      <c r="G614" t="s">
        <v>63</v>
      </c>
      <c r="H614">
        <v>17</v>
      </c>
      <c r="I614">
        <v>11407</v>
      </c>
      <c r="J614">
        <v>19528</v>
      </c>
      <c r="K614">
        <v>2227.38</v>
      </c>
      <c r="L614" s="3">
        <f t="shared" si="9"/>
        <v>0.19526431138774439</v>
      </c>
    </row>
    <row r="615" spans="1:12" x14ac:dyDescent="0.3">
      <c r="A615" s="5" t="s">
        <v>293</v>
      </c>
      <c r="B615" t="s">
        <v>48</v>
      </c>
      <c r="C615">
        <v>2025</v>
      </c>
      <c r="D615" t="s">
        <v>32</v>
      </c>
      <c r="E615" t="s">
        <v>28</v>
      </c>
      <c r="F615" t="s">
        <v>15</v>
      </c>
      <c r="G615" t="s">
        <v>16</v>
      </c>
      <c r="H615">
        <v>15</v>
      </c>
      <c r="I615">
        <v>7005</v>
      </c>
      <c r="J615">
        <v>7160</v>
      </c>
      <c r="K615">
        <v>1280.02</v>
      </c>
      <c r="L615" s="3">
        <f t="shared" si="9"/>
        <v>0.18272947894361169</v>
      </c>
    </row>
    <row r="616" spans="1:12" x14ac:dyDescent="0.3">
      <c r="A616" s="5" t="s">
        <v>259</v>
      </c>
      <c r="B616" t="s">
        <v>25</v>
      </c>
      <c r="C616">
        <v>2025</v>
      </c>
      <c r="D616" t="s">
        <v>32</v>
      </c>
      <c r="E616" t="s">
        <v>26</v>
      </c>
      <c r="F616" t="s">
        <v>15</v>
      </c>
      <c r="G616" t="s">
        <v>16</v>
      </c>
      <c r="H616">
        <v>19</v>
      </c>
      <c r="I616">
        <v>28196</v>
      </c>
      <c r="J616">
        <v>8207</v>
      </c>
      <c r="K616">
        <v>2876.2</v>
      </c>
      <c r="L616" s="3">
        <f t="shared" si="9"/>
        <v>0.10200737693289828</v>
      </c>
    </row>
    <row r="617" spans="1:12" x14ac:dyDescent="0.3">
      <c r="A617" s="5" t="s">
        <v>304</v>
      </c>
      <c r="B617" t="s">
        <v>45</v>
      </c>
      <c r="C617">
        <v>2025</v>
      </c>
      <c r="D617" t="s">
        <v>13</v>
      </c>
      <c r="E617" t="s">
        <v>49</v>
      </c>
      <c r="F617" t="s">
        <v>19</v>
      </c>
      <c r="G617" t="s">
        <v>20</v>
      </c>
      <c r="H617">
        <v>3</v>
      </c>
      <c r="I617">
        <v>1146</v>
      </c>
      <c r="J617">
        <v>12895</v>
      </c>
      <c r="K617">
        <v>233.9</v>
      </c>
      <c r="L617" s="3">
        <f t="shared" si="9"/>
        <v>0.20410122164048866</v>
      </c>
    </row>
    <row r="618" spans="1:12" x14ac:dyDescent="0.3">
      <c r="A618" s="5" t="s">
        <v>69</v>
      </c>
      <c r="B618" t="s">
        <v>48</v>
      </c>
      <c r="C618">
        <v>2025</v>
      </c>
      <c r="D618" t="s">
        <v>23</v>
      </c>
      <c r="E618" t="s">
        <v>26</v>
      </c>
      <c r="F618" t="s">
        <v>29</v>
      </c>
      <c r="G618" t="s">
        <v>20</v>
      </c>
      <c r="H618">
        <v>18</v>
      </c>
      <c r="I618">
        <v>11106</v>
      </c>
      <c r="J618">
        <v>8115</v>
      </c>
      <c r="K618">
        <v>1790.9</v>
      </c>
      <c r="L618" s="3">
        <f t="shared" si="9"/>
        <v>0.16125517738159553</v>
      </c>
    </row>
    <row r="619" spans="1:12" x14ac:dyDescent="0.3">
      <c r="A619" s="5" t="s">
        <v>337</v>
      </c>
      <c r="B619" t="s">
        <v>12</v>
      </c>
      <c r="C619">
        <v>2025</v>
      </c>
      <c r="D619" t="s">
        <v>32</v>
      </c>
      <c r="E619" t="s">
        <v>26</v>
      </c>
      <c r="F619" t="s">
        <v>19</v>
      </c>
      <c r="G619" t="s">
        <v>20</v>
      </c>
      <c r="H619">
        <v>9</v>
      </c>
      <c r="I619">
        <v>1179</v>
      </c>
      <c r="J619">
        <v>8648</v>
      </c>
      <c r="K619">
        <v>221.44</v>
      </c>
      <c r="L619" s="3">
        <f t="shared" si="9"/>
        <v>0.18782018659881256</v>
      </c>
    </row>
    <row r="620" spans="1:12" x14ac:dyDescent="0.3">
      <c r="A620" s="5" t="s">
        <v>56</v>
      </c>
      <c r="B620" t="s">
        <v>57</v>
      </c>
      <c r="C620">
        <v>2025</v>
      </c>
      <c r="D620" t="s">
        <v>13</v>
      </c>
      <c r="E620" t="s">
        <v>14</v>
      </c>
      <c r="F620" t="s">
        <v>15</v>
      </c>
      <c r="G620" t="s">
        <v>16</v>
      </c>
      <c r="H620">
        <v>14</v>
      </c>
      <c r="I620">
        <v>11172</v>
      </c>
      <c r="J620">
        <v>18791</v>
      </c>
      <c r="K620">
        <v>2219.11</v>
      </c>
      <c r="L620" s="3">
        <f t="shared" si="9"/>
        <v>0.19863139992839243</v>
      </c>
    </row>
    <row r="621" spans="1:12" x14ac:dyDescent="0.3">
      <c r="A621" s="5" t="s">
        <v>338</v>
      </c>
      <c r="B621" t="s">
        <v>31</v>
      </c>
      <c r="C621">
        <v>2025</v>
      </c>
      <c r="D621" t="s">
        <v>13</v>
      </c>
      <c r="E621" t="s">
        <v>26</v>
      </c>
      <c r="F621" t="s">
        <v>19</v>
      </c>
      <c r="G621" t="s">
        <v>20</v>
      </c>
      <c r="H621">
        <v>15</v>
      </c>
      <c r="I621">
        <v>13410</v>
      </c>
      <c r="J621">
        <v>19007</v>
      </c>
      <c r="K621">
        <v>3911.84</v>
      </c>
      <c r="L621" s="3">
        <f t="shared" si="9"/>
        <v>0.29171066368381804</v>
      </c>
    </row>
    <row r="622" spans="1:12" x14ac:dyDescent="0.3">
      <c r="A622" s="5" t="s">
        <v>254</v>
      </c>
      <c r="B622" t="s">
        <v>39</v>
      </c>
      <c r="C622">
        <v>2025</v>
      </c>
      <c r="D622" t="s">
        <v>23</v>
      </c>
      <c r="E622" t="s">
        <v>26</v>
      </c>
      <c r="F622" t="s">
        <v>19</v>
      </c>
      <c r="G622" t="s">
        <v>20</v>
      </c>
      <c r="H622">
        <v>12</v>
      </c>
      <c r="I622">
        <v>17688</v>
      </c>
      <c r="J622">
        <v>5043</v>
      </c>
      <c r="K622">
        <v>4646.0200000000004</v>
      </c>
      <c r="L622" s="3">
        <f t="shared" si="9"/>
        <v>0.26266508367254637</v>
      </c>
    </row>
    <row r="623" spans="1:12" x14ac:dyDescent="0.3">
      <c r="A623" s="5" t="s">
        <v>75</v>
      </c>
      <c r="B623" t="s">
        <v>31</v>
      </c>
      <c r="C623">
        <v>2025</v>
      </c>
      <c r="D623" t="s">
        <v>18</v>
      </c>
      <c r="E623" t="s">
        <v>49</v>
      </c>
      <c r="F623" t="s">
        <v>35</v>
      </c>
      <c r="G623" t="s">
        <v>20</v>
      </c>
      <c r="H623">
        <v>11</v>
      </c>
      <c r="I623">
        <v>2629</v>
      </c>
      <c r="J623">
        <v>19090</v>
      </c>
      <c r="K623">
        <v>629.62</v>
      </c>
      <c r="L623" s="3">
        <f t="shared" si="9"/>
        <v>0.23949030049448461</v>
      </c>
    </row>
    <row r="624" spans="1:12" x14ac:dyDescent="0.3">
      <c r="A624" s="5" t="s">
        <v>141</v>
      </c>
      <c r="B624" t="s">
        <v>37</v>
      </c>
      <c r="C624">
        <v>2025</v>
      </c>
      <c r="D624" t="s">
        <v>13</v>
      </c>
      <c r="E624" t="s">
        <v>26</v>
      </c>
      <c r="F624" t="s">
        <v>42</v>
      </c>
      <c r="G624" t="s">
        <v>20</v>
      </c>
      <c r="H624">
        <v>6</v>
      </c>
      <c r="I624">
        <v>7380</v>
      </c>
      <c r="J624">
        <v>12072</v>
      </c>
      <c r="K624">
        <v>769.34</v>
      </c>
      <c r="L624" s="3">
        <f t="shared" si="9"/>
        <v>0.10424661246612467</v>
      </c>
    </row>
    <row r="625" spans="1:12" x14ac:dyDescent="0.3">
      <c r="A625" s="5" t="s">
        <v>33</v>
      </c>
      <c r="B625" t="s">
        <v>34</v>
      </c>
      <c r="C625">
        <v>2025</v>
      </c>
      <c r="D625" t="s">
        <v>18</v>
      </c>
      <c r="E625" t="s">
        <v>49</v>
      </c>
      <c r="F625" t="s">
        <v>29</v>
      </c>
      <c r="G625" t="s">
        <v>20</v>
      </c>
      <c r="H625">
        <v>7</v>
      </c>
      <c r="I625">
        <v>5390</v>
      </c>
      <c r="J625">
        <v>12399</v>
      </c>
      <c r="K625">
        <v>789.12</v>
      </c>
      <c r="L625" s="3">
        <f t="shared" si="9"/>
        <v>0.14640445269016697</v>
      </c>
    </row>
    <row r="626" spans="1:12" x14ac:dyDescent="0.3">
      <c r="A626" s="5" t="s">
        <v>83</v>
      </c>
      <c r="B626" t="s">
        <v>48</v>
      </c>
      <c r="C626">
        <v>2025</v>
      </c>
      <c r="D626" t="s">
        <v>18</v>
      </c>
      <c r="E626" t="s">
        <v>26</v>
      </c>
      <c r="F626" t="s">
        <v>35</v>
      </c>
      <c r="G626" t="s">
        <v>20</v>
      </c>
      <c r="H626">
        <v>19</v>
      </c>
      <c r="I626">
        <v>16093</v>
      </c>
      <c r="J626">
        <v>15985</v>
      </c>
      <c r="K626">
        <v>3693.63</v>
      </c>
      <c r="L626" s="3">
        <f t="shared" si="9"/>
        <v>0.2295178027713913</v>
      </c>
    </row>
    <row r="627" spans="1:12" x14ac:dyDescent="0.3">
      <c r="A627" s="5" t="s">
        <v>339</v>
      </c>
      <c r="B627" t="s">
        <v>25</v>
      </c>
      <c r="C627">
        <v>2025</v>
      </c>
      <c r="D627" t="s">
        <v>23</v>
      </c>
      <c r="E627" t="s">
        <v>28</v>
      </c>
      <c r="F627" t="s">
        <v>15</v>
      </c>
      <c r="G627" t="s">
        <v>16</v>
      </c>
      <c r="H627">
        <v>8</v>
      </c>
      <c r="I627">
        <v>4952</v>
      </c>
      <c r="J627">
        <v>7069</v>
      </c>
      <c r="K627">
        <v>802.28</v>
      </c>
      <c r="L627" s="3">
        <f t="shared" si="9"/>
        <v>0.16201130856219709</v>
      </c>
    </row>
    <row r="628" spans="1:12" x14ac:dyDescent="0.3">
      <c r="A628" s="5" t="s">
        <v>340</v>
      </c>
      <c r="B628" t="s">
        <v>85</v>
      </c>
      <c r="C628">
        <v>2025</v>
      </c>
      <c r="D628" t="s">
        <v>23</v>
      </c>
      <c r="E628" t="s">
        <v>26</v>
      </c>
      <c r="F628" t="s">
        <v>15</v>
      </c>
      <c r="G628" t="s">
        <v>16</v>
      </c>
      <c r="H628">
        <v>1</v>
      </c>
      <c r="I628">
        <v>870</v>
      </c>
      <c r="J628">
        <v>19562</v>
      </c>
      <c r="K628">
        <v>260.37</v>
      </c>
      <c r="L628" s="3">
        <f t="shared" si="9"/>
        <v>0.2992758620689655</v>
      </c>
    </row>
    <row r="629" spans="1:12" x14ac:dyDescent="0.3">
      <c r="A629" s="5" t="s">
        <v>240</v>
      </c>
      <c r="B629" t="s">
        <v>22</v>
      </c>
      <c r="C629">
        <v>2025</v>
      </c>
      <c r="D629" t="s">
        <v>13</v>
      </c>
      <c r="E629" t="s">
        <v>26</v>
      </c>
      <c r="F629" t="s">
        <v>35</v>
      </c>
      <c r="G629" t="s">
        <v>20</v>
      </c>
      <c r="H629">
        <v>4</v>
      </c>
      <c r="I629">
        <v>4116</v>
      </c>
      <c r="J629">
        <v>18957</v>
      </c>
      <c r="K629">
        <v>1087.43</v>
      </c>
      <c r="L629" s="3">
        <f t="shared" si="9"/>
        <v>0.26419582118561713</v>
      </c>
    </row>
    <row r="630" spans="1:12" x14ac:dyDescent="0.3">
      <c r="A630" s="5" t="s">
        <v>341</v>
      </c>
      <c r="B630" t="s">
        <v>12</v>
      </c>
      <c r="C630">
        <v>2025</v>
      </c>
      <c r="D630" t="s">
        <v>23</v>
      </c>
      <c r="E630" t="s">
        <v>49</v>
      </c>
      <c r="F630" t="s">
        <v>35</v>
      </c>
      <c r="G630" t="s">
        <v>20</v>
      </c>
      <c r="H630">
        <v>4</v>
      </c>
      <c r="I630">
        <v>860</v>
      </c>
      <c r="J630">
        <v>5468</v>
      </c>
      <c r="K630">
        <v>113.54</v>
      </c>
      <c r="L630" s="3">
        <f t="shared" si="9"/>
        <v>0.13202325581395349</v>
      </c>
    </row>
    <row r="631" spans="1:12" x14ac:dyDescent="0.3">
      <c r="A631" s="5" t="s">
        <v>273</v>
      </c>
      <c r="B631" t="s">
        <v>48</v>
      </c>
      <c r="C631">
        <v>2025</v>
      </c>
      <c r="D631" t="s">
        <v>13</v>
      </c>
      <c r="E631" t="s">
        <v>60</v>
      </c>
      <c r="F631" t="s">
        <v>19</v>
      </c>
      <c r="G631" t="s">
        <v>20</v>
      </c>
      <c r="H631">
        <v>7</v>
      </c>
      <c r="I631">
        <v>7420</v>
      </c>
      <c r="J631">
        <v>10318</v>
      </c>
      <c r="K631">
        <v>1110.3900000000001</v>
      </c>
      <c r="L631" s="3">
        <f t="shared" si="9"/>
        <v>0.14964824797843668</v>
      </c>
    </row>
    <row r="632" spans="1:12" x14ac:dyDescent="0.3">
      <c r="A632" s="5" t="s">
        <v>342</v>
      </c>
      <c r="B632" t="s">
        <v>57</v>
      </c>
      <c r="C632">
        <v>2025</v>
      </c>
      <c r="D632" t="s">
        <v>23</v>
      </c>
      <c r="E632" t="s">
        <v>49</v>
      </c>
      <c r="F632" t="s">
        <v>35</v>
      </c>
      <c r="G632" t="s">
        <v>20</v>
      </c>
      <c r="H632">
        <v>20</v>
      </c>
      <c r="I632">
        <v>27460</v>
      </c>
      <c r="J632">
        <v>12310</v>
      </c>
      <c r="K632">
        <v>5726.36</v>
      </c>
      <c r="L632" s="3">
        <f t="shared" si="9"/>
        <v>0.20853459577567371</v>
      </c>
    </row>
    <row r="633" spans="1:12" x14ac:dyDescent="0.3">
      <c r="A633" s="5" t="s">
        <v>128</v>
      </c>
      <c r="B633" t="s">
        <v>48</v>
      </c>
      <c r="C633">
        <v>2025</v>
      </c>
      <c r="D633" t="s">
        <v>13</v>
      </c>
      <c r="E633" t="s">
        <v>26</v>
      </c>
      <c r="F633" t="s">
        <v>19</v>
      </c>
      <c r="G633" t="s">
        <v>20</v>
      </c>
      <c r="H633">
        <v>10</v>
      </c>
      <c r="I633">
        <v>10520</v>
      </c>
      <c r="J633">
        <v>7615</v>
      </c>
      <c r="K633">
        <v>2763.27</v>
      </c>
      <c r="L633" s="3">
        <f t="shared" si="9"/>
        <v>0.26266825095057034</v>
      </c>
    </row>
    <row r="634" spans="1:12" x14ac:dyDescent="0.3">
      <c r="A634" s="5" t="s">
        <v>147</v>
      </c>
      <c r="B634" t="s">
        <v>57</v>
      </c>
      <c r="C634">
        <v>2025</v>
      </c>
      <c r="D634" t="s">
        <v>13</v>
      </c>
      <c r="E634" t="s">
        <v>28</v>
      </c>
      <c r="F634" t="s">
        <v>19</v>
      </c>
      <c r="G634" t="s">
        <v>20</v>
      </c>
      <c r="H634">
        <v>3</v>
      </c>
      <c r="I634">
        <v>1581</v>
      </c>
      <c r="J634">
        <v>6054</v>
      </c>
      <c r="K634">
        <v>409.54</v>
      </c>
      <c r="L634" s="3">
        <f t="shared" si="9"/>
        <v>0.25903858317520556</v>
      </c>
    </row>
    <row r="635" spans="1:12" x14ac:dyDescent="0.3">
      <c r="A635" s="5" t="s">
        <v>303</v>
      </c>
      <c r="B635" t="s">
        <v>22</v>
      </c>
      <c r="C635">
        <v>2025</v>
      </c>
      <c r="D635" t="s">
        <v>32</v>
      </c>
      <c r="E635" t="s">
        <v>60</v>
      </c>
      <c r="F635" t="s">
        <v>15</v>
      </c>
      <c r="G635" t="s">
        <v>16</v>
      </c>
      <c r="H635">
        <v>16</v>
      </c>
      <c r="I635">
        <v>5440</v>
      </c>
      <c r="J635">
        <v>10174</v>
      </c>
      <c r="K635">
        <v>1005.92</v>
      </c>
      <c r="L635" s="3">
        <f t="shared" si="9"/>
        <v>0.18491176470588236</v>
      </c>
    </row>
    <row r="636" spans="1:12" x14ac:dyDescent="0.3">
      <c r="A636" s="5" t="s">
        <v>343</v>
      </c>
      <c r="B636" t="s">
        <v>37</v>
      </c>
      <c r="C636">
        <v>2025</v>
      </c>
      <c r="D636" t="s">
        <v>32</v>
      </c>
      <c r="E636" t="s">
        <v>49</v>
      </c>
      <c r="F636" t="s">
        <v>15</v>
      </c>
      <c r="G636" t="s">
        <v>16</v>
      </c>
      <c r="H636">
        <v>18</v>
      </c>
      <c r="I636">
        <v>5724</v>
      </c>
      <c r="J636">
        <v>16442</v>
      </c>
      <c r="K636">
        <v>900.93</v>
      </c>
      <c r="L636" s="3">
        <f t="shared" si="9"/>
        <v>0.15739517819706497</v>
      </c>
    </row>
    <row r="637" spans="1:12" x14ac:dyDescent="0.3">
      <c r="A637" s="5" t="s">
        <v>197</v>
      </c>
      <c r="B637" t="s">
        <v>12</v>
      </c>
      <c r="C637">
        <v>2025</v>
      </c>
      <c r="D637" t="s">
        <v>13</v>
      </c>
      <c r="E637" t="s">
        <v>14</v>
      </c>
      <c r="F637" t="s">
        <v>62</v>
      </c>
      <c r="G637" t="s">
        <v>63</v>
      </c>
      <c r="H637">
        <v>11</v>
      </c>
      <c r="I637">
        <v>13332</v>
      </c>
      <c r="J637">
        <v>10900</v>
      </c>
      <c r="K637">
        <v>2597.5500000000002</v>
      </c>
      <c r="L637" s="3">
        <f t="shared" si="9"/>
        <v>0.19483573357335734</v>
      </c>
    </row>
    <row r="638" spans="1:12" x14ac:dyDescent="0.3">
      <c r="A638" s="5" t="s">
        <v>344</v>
      </c>
      <c r="B638" t="s">
        <v>41</v>
      </c>
      <c r="C638">
        <v>2025</v>
      </c>
      <c r="D638" t="s">
        <v>18</v>
      </c>
      <c r="E638" t="s">
        <v>14</v>
      </c>
      <c r="F638" t="s">
        <v>15</v>
      </c>
      <c r="G638" t="s">
        <v>16</v>
      </c>
      <c r="H638">
        <v>19</v>
      </c>
      <c r="I638">
        <v>20368</v>
      </c>
      <c r="J638">
        <v>8606</v>
      </c>
      <c r="K638">
        <v>5382.03</v>
      </c>
      <c r="L638" s="3">
        <f t="shared" si="9"/>
        <v>0.2642394933228594</v>
      </c>
    </row>
    <row r="639" spans="1:12" x14ac:dyDescent="0.3">
      <c r="A639" s="5" t="s">
        <v>345</v>
      </c>
      <c r="B639" t="s">
        <v>31</v>
      </c>
      <c r="C639">
        <v>2025</v>
      </c>
      <c r="D639" t="s">
        <v>23</v>
      </c>
      <c r="E639" t="s">
        <v>49</v>
      </c>
      <c r="F639" t="s">
        <v>29</v>
      </c>
      <c r="G639" t="s">
        <v>20</v>
      </c>
      <c r="H639">
        <v>20</v>
      </c>
      <c r="I639">
        <v>20600</v>
      </c>
      <c r="J639">
        <v>17615</v>
      </c>
      <c r="K639">
        <v>5203.1400000000003</v>
      </c>
      <c r="L639" s="3">
        <f t="shared" si="9"/>
        <v>0.25257961165048548</v>
      </c>
    </row>
    <row r="640" spans="1:12" x14ac:dyDescent="0.3">
      <c r="A640" s="5" t="s">
        <v>46</v>
      </c>
      <c r="B640" t="s">
        <v>39</v>
      </c>
      <c r="C640">
        <v>2025</v>
      </c>
      <c r="D640" t="s">
        <v>23</v>
      </c>
      <c r="E640" t="s">
        <v>26</v>
      </c>
      <c r="F640" t="s">
        <v>35</v>
      </c>
      <c r="G640" t="s">
        <v>20</v>
      </c>
      <c r="H640">
        <v>7</v>
      </c>
      <c r="I640">
        <v>9800</v>
      </c>
      <c r="J640">
        <v>16189</v>
      </c>
      <c r="K640">
        <v>2875.33</v>
      </c>
      <c r="L640" s="3">
        <f t="shared" si="9"/>
        <v>0.29340102040816324</v>
      </c>
    </row>
    <row r="641" spans="1:12" x14ac:dyDescent="0.3">
      <c r="A641" s="5" t="s">
        <v>346</v>
      </c>
      <c r="B641" t="s">
        <v>22</v>
      </c>
      <c r="C641">
        <v>2025</v>
      </c>
      <c r="D641" t="s">
        <v>23</v>
      </c>
      <c r="E641" t="s">
        <v>14</v>
      </c>
      <c r="F641" t="s">
        <v>19</v>
      </c>
      <c r="G641" t="s">
        <v>20</v>
      </c>
      <c r="H641">
        <v>1</v>
      </c>
      <c r="I641">
        <v>146</v>
      </c>
      <c r="J641">
        <v>8661</v>
      </c>
      <c r="K641">
        <v>38.28</v>
      </c>
      <c r="L641" s="3">
        <f t="shared" si="9"/>
        <v>0.2621917808219178</v>
      </c>
    </row>
    <row r="642" spans="1:12" x14ac:dyDescent="0.3">
      <c r="A642" s="5" t="s">
        <v>347</v>
      </c>
      <c r="B642" t="s">
        <v>45</v>
      </c>
      <c r="C642">
        <v>2025</v>
      </c>
      <c r="D642" t="s">
        <v>13</v>
      </c>
      <c r="E642" t="s">
        <v>60</v>
      </c>
      <c r="F642" t="s">
        <v>35</v>
      </c>
      <c r="G642" t="s">
        <v>20</v>
      </c>
      <c r="H642">
        <v>11</v>
      </c>
      <c r="I642">
        <v>2629</v>
      </c>
      <c r="J642">
        <v>8742</v>
      </c>
      <c r="K642">
        <v>432.96</v>
      </c>
      <c r="L642" s="3">
        <f t="shared" si="9"/>
        <v>0.16468619246861924</v>
      </c>
    </row>
    <row r="643" spans="1:12" x14ac:dyDescent="0.3">
      <c r="A643" s="5" t="s">
        <v>219</v>
      </c>
      <c r="B643" t="s">
        <v>45</v>
      </c>
      <c r="C643">
        <v>2025</v>
      </c>
      <c r="D643" t="s">
        <v>32</v>
      </c>
      <c r="E643" t="s">
        <v>49</v>
      </c>
      <c r="F643" t="s">
        <v>42</v>
      </c>
      <c r="G643" t="s">
        <v>20</v>
      </c>
      <c r="H643">
        <v>2</v>
      </c>
      <c r="I643">
        <v>1246</v>
      </c>
      <c r="J643">
        <v>19651</v>
      </c>
      <c r="K643">
        <v>175.45</v>
      </c>
      <c r="L643" s="3">
        <f t="shared" ref="L643:L706" si="10">K643/I643</f>
        <v>0.14081059390048153</v>
      </c>
    </row>
    <row r="644" spans="1:12" x14ac:dyDescent="0.3">
      <c r="A644" s="5" t="s">
        <v>163</v>
      </c>
      <c r="B644" t="s">
        <v>41</v>
      </c>
      <c r="C644">
        <v>2025</v>
      </c>
      <c r="D644" t="s">
        <v>13</v>
      </c>
      <c r="E644" t="s">
        <v>49</v>
      </c>
      <c r="F644" t="s">
        <v>35</v>
      </c>
      <c r="G644" t="s">
        <v>20</v>
      </c>
      <c r="H644">
        <v>8</v>
      </c>
      <c r="I644">
        <v>8952</v>
      </c>
      <c r="J644">
        <v>19958</v>
      </c>
      <c r="K644">
        <v>1586.36</v>
      </c>
      <c r="L644" s="3">
        <f t="shared" si="10"/>
        <v>0.17720732797140304</v>
      </c>
    </row>
    <row r="645" spans="1:12" x14ac:dyDescent="0.3">
      <c r="A645" s="5" t="s">
        <v>243</v>
      </c>
      <c r="B645" t="s">
        <v>25</v>
      </c>
      <c r="C645">
        <v>2025</v>
      </c>
      <c r="D645" t="s">
        <v>13</v>
      </c>
      <c r="E645" t="s">
        <v>26</v>
      </c>
      <c r="F645" t="s">
        <v>62</v>
      </c>
      <c r="G645" t="s">
        <v>63</v>
      </c>
      <c r="H645">
        <v>6</v>
      </c>
      <c r="I645">
        <v>3414</v>
      </c>
      <c r="J645">
        <v>14118</v>
      </c>
      <c r="K645">
        <v>815.94</v>
      </c>
      <c r="L645" s="3">
        <f t="shared" si="10"/>
        <v>0.23899824253075572</v>
      </c>
    </row>
    <row r="646" spans="1:12" x14ac:dyDescent="0.3">
      <c r="A646" s="5" t="s">
        <v>218</v>
      </c>
      <c r="B646" t="s">
        <v>31</v>
      </c>
      <c r="C646">
        <v>2025</v>
      </c>
      <c r="D646" t="s">
        <v>13</v>
      </c>
      <c r="E646" t="s">
        <v>26</v>
      </c>
      <c r="F646" t="s">
        <v>62</v>
      </c>
      <c r="G646" t="s">
        <v>63</v>
      </c>
      <c r="H646">
        <v>11</v>
      </c>
      <c r="I646">
        <v>5863</v>
      </c>
      <c r="J646">
        <v>8217</v>
      </c>
      <c r="K646">
        <v>1065.18</v>
      </c>
      <c r="L646" s="3">
        <f t="shared" si="10"/>
        <v>0.18167832167832168</v>
      </c>
    </row>
    <row r="647" spans="1:12" x14ac:dyDescent="0.3">
      <c r="A647" s="5" t="s">
        <v>348</v>
      </c>
      <c r="B647" t="s">
        <v>37</v>
      </c>
      <c r="C647">
        <v>2025</v>
      </c>
      <c r="D647" t="s">
        <v>32</v>
      </c>
      <c r="E647" t="s">
        <v>49</v>
      </c>
      <c r="F647" t="s">
        <v>19</v>
      </c>
      <c r="G647" t="s">
        <v>20</v>
      </c>
      <c r="H647">
        <v>18</v>
      </c>
      <c r="I647">
        <v>22356</v>
      </c>
      <c r="J647">
        <v>8203</v>
      </c>
      <c r="K647">
        <v>2758.04</v>
      </c>
      <c r="L647" s="3">
        <f t="shared" si="10"/>
        <v>0.12336911791018071</v>
      </c>
    </row>
    <row r="648" spans="1:12" x14ac:dyDescent="0.3">
      <c r="A648" s="5" t="s">
        <v>349</v>
      </c>
      <c r="B648" t="s">
        <v>39</v>
      </c>
      <c r="C648">
        <v>2025</v>
      </c>
      <c r="D648" t="s">
        <v>13</v>
      </c>
      <c r="E648" t="s">
        <v>60</v>
      </c>
      <c r="F648" t="s">
        <v>62</v>
      </c>
      <c r="G648" t="s">
        <v>63</v>
      </c>
      <c r="H648">
        <v>18</v>
      </c>
      <c r="I648">
        <v>21834</v>
      </c>
      <c r="J648">
        <v>18157</v>
      </c>
      <c r="K648">
        <v>4097.38</v>
      </c>
      <c r="L648" s="3">
        <f t="shared" si="10"/>
        <v>0.18766052944948247</v>
      </c>
    </row>
    <row r="649" spans="1:12" x14ac:dyDescent="0.3">
      <c r="A649" s="5" t="s">
        <v>350</v>
      </c>
      <c r="B649" t="s">
        <v>25</v>
      </c>
      <c r="C649">
        <v>2025</v>
      </c>
      <c r="D649" t="s">
        <v>23</v>
      </c>
      <c r="E649" t="s">
        <v>26</v>
      </c>
      <c r="F649" t="s">
        <v>35</v>
      </c>
      <c r="G649" t="s">
        <v>20</v>
      </c>
      <c r="H649">
        <v>4</v>
      </c>
      <c r="I649">
        <v>5292</v>
      </c>
      <c r="J649">
        <v>8153</v>
      </c>
      <c r="K649">
        <v>1064.71</v>
      </c>
      <c r="L649" s="3">
        <f t="shared" si="10"/>
        <v>0.20119236583522299</v>
      </c>
    </row>
    <row r="650" spans="1:12" x14ac:dyDescent="0.3">
      <c r="A650" s="5" t="s">
        <v>277</v>
      </c>
      <c r="B650" t="s">
        <v>39</v>
      </c>
      <c r="C650">
        <v>2025</v>
      </c>
      <c r="D650" t="s">
        <v>23</v>
      </c>
      <c r="E650" t="s">
        <v>60</v>
      </c>
      <c r="F650" t="s">
        <v>62</v>
      </c>
      <c r="G650" t="s">
        <v>63</v>
      </c>
      <c r="H650">
        <v>10</v>
      </c>
      <c r="I650">
        <v>4620</v>
      </c>
      <c r="J650">
        <v>17571</v>
      </c>
      <c r="K650">
        <v>704.82</v>
      </c>
      <c r="L650" s="3">
        <f t="shared" si="10"/>
        <v>0.15255844155844156</v>
      </c>
    </row>
    <row r="651" spans="1:12" x14ac:dyDescent="0.3">
      <c r="A651" s="5" t="s">
        <v>344</v>
      </c>
      <c r="B651" t="s">
        <v>41</v>
      </c>
      <c r="C651">
        <v>2025</v>
      </c>
      <c r="D651" t="s">
        <v>13</v>
      </c>
      <c r="E651" t="s">
        <v>28</v>
      </c>
      <c r="F651" t="s">
        <v>29</v>
      </c>
      <c r="G651" t="s">
        <v>20</v>
      </c>
      <c r="H651">
        <v>11</v>
      </c>
      <c r="I651">
        <v>7931</v>
      </c>
      <c r="J651">
        <v>18920</v>
      </c>
      <c r="K651">
        <v>1040.74</v>
      </c>
      <c r="L651" s="3">
        <f t="shared" si="10"/>
        <v>0.13122430967091162</v>
      </c>
    </row>
    <row r="652" spans="1:12" x14ac:dyDescent="0.3">
      <c r="A652" s="5" t="s">
        <v>141</v>
      </c>
      <c r="B652" t="s">
        <v>37</v>
      </c>
      <c r="C652">
        <v>2025</v>
      </c>
      <c r="D652" t="s">
        <v>32</v>
      </c>
      <c r="E652" t="s">
        <v>60</v>
      </c>
      <c r="F652" t="s">
        <v>29</v>
      </c>
      <c r="G652" t="s">
        <v>20</v>
      </c>
      <c r="H652">
        <v>17</v>
      </c>
      <c r="I652">
        <v>15555</v>
      </c>
      <c r="J652">
        <v>8705</v>
      </c>
      <c r="K652">
        <v>3566.43</v>
      </c>
      <c r="L652" s="3">
        <f t="shared" si="10"/>
        <v>0.22927868852459016</v>
      </c>
    </row>
    <row r="653" spans="1:12" x14ac:dyDescent="0.3">
      <c r="A653" s="5" t="s">
        <v>351</v>
      </c>
      <c r="B653" t="s">
        <v>45</v>
      </c>
      <c r="C653">
        <v>2025</v>
      </c>
      <c r="D653" t="s">
        <v>23</v>
      </c>
      <c r="E653" t="s">
        <v>14</v>
      </c>
      <c r="F653" t="s">
        <v>42</v>
      </c>
      <c r="G653" t="s">
        <v>20</v>
      </c>
      <c r="H653">
        <v>8</v>
      </c>
      <c r="I653">
        <v>4888</v>
      </c>
      <c r="J653">
        <v>11722</v>
      </c>
      <c r="K653">
        <v>1002.07</v>
      </c>
      <c r="L653" s="3">
        <f t="shared" si="10"/>
        <v>0.20500613747954174</v>
      </c>
    </row>
    <row r="654" spans="1:12" x14ac:dyDescent="0.3">
      <c r="A654" s="5" t="s">
        <v>197</v>
      </c>
      <c r="B654" t="s">
        <v>12</v>
      </c>
      <c r="C654">
        <v>2025</v>
      </c>
      <c r="D654" t="s">
        <v>32</v>
      </c>
      <c r="E654" t="s">
        <v>60</v>
      </c>
      <c r="F654" t="s">
        <v>19</v>
      </c>
      <c r="G654" t="s">
        <v>20</v>
      </c>
      <c r="H654">
        <v>3</v>
      </c>
      <c r="I654">
        <v>2004</v>
      </c>
      <c r="J654">
        <v>18489</v>
      </c>
      <c r="K654">
        <v>404.89</v>
      </c>
      <c r="L654" s="3">
        <f t="shared" si="10"/>
        <v>0.20204091816367264</v>
      </c>
    </row>
    <row r="655" spans="1:12" x14ac:dyDescent="0.3">
      <c r="A655" s="5" t="s">
        <v>164</v>
      </c>
      <c r="B655" t="s">
        <v>45</v>
      </c>
      <c r="C655">
        <v>2025</v>
      </c>
      <c r="D655" t="s">
        <v>13</v>
      </c>
      <c r="E655" t="s">
        <v>14</v>
      </c>
      <c r="F655" t="s">
        <v>29</v>
      </c>
      <c r="G655" t="s">
        <v>20</v>
      </c>
      <c r="H655">
        <v>3</v>
      </c>
      <c r="I655">
        <v>4083</v>
      </c>
      <c r="J655">
        <v>9034</v>
      </c>
      <c r="K655">
        <v>1068.83</v>
      </c>
      <c r="L655" s="3">
        <f t="shared" si="10"/>
        <v>0.26177565515552287</v>
      </c>
    </row>
    <row r="656" spans="1:12" x14ac:dyDescent="0.3">
      <c r="A656" s="5" t="s">
        <v>67</v>
      </c>
      <c r="B656" t="s">
        <v>22</v>
      </c>
      <c r="C656">
        <v>2025</v>
      </c>
      <c r="D656" t="s">
        <v>23</v>
      </c>
      <c r="E656" t="s">
        <v>49</v>
      </c>
      <c r="F656" t="s">
        <v>35</v>
      </c>
      <c r="G656" t="s">
        <v>20</v>
      </c>
      <c r="H656">
        <v>9</v>
      </c>
      <c r="I656">
        <v>5823</v>
      </c>
      <c r="J656">
        <v>17744</v>
      </c>
      <c r="K656">
        <v>605.82000000000005</v>
      </c>
      <c r="L656" s="3">
        <f t="shared" si="10"/>
        <v>0.10403915507470377</v>
      </c>
    </row>
    <row r="657" spans="1:12" x14ac:dyDescent="0.3">
      <c r="A657" s="5" t="s">
        <v>272</v>
      </c>
      <c r="B657" t="s">
        <v>57</v>
      </c>
      <c r="C657">
        <v>2025</v>
      </c>
      <c r="D657" t="s">
        <v>13</v>
      </c>
      <c r="E657" t="s">
        <v>60</v>
      </c>
      <c r="F657" t="s">
        <v>62</v>
      </c>
      <c r="G657" t="s">
        <v>63</v>
      </c>
      <c r="H657">
        <v>11</v>
      </c>
      <c r="I657">
        <v>14564</v>
      </c>
      <c r="J657">
        <v>9269</v>
      </c>
      <c r="K657">
        <v>2508.56</v>
      </c>
      <c r="L657" s="3">
        <f t="shared" si="10"/>
        <v>0.17224388904147211</v>
      </c>
    </row>
    <row r="658" spans="1:12" x14ac:dyDescent="0.3">
      <c r="A658" s="5" t="s">
        <v>148</v>
      </c>
      <c r="B658" t="s">
        <v>12</v>
      </c>
      <c r="C658">
        <v>2025</v>
      </c>
      <c r="D658" t="s">
        <v>23</v>
      </c>
      <c r="E658" t="s">
        <v>49</v>
      </c>
      <c r="F658" t="s">
        <v>42</v>
      </c>
      <c r="G658" t="s">
        <v>20</v>
      </c>
      <c r="H658">
        <v>3</v>
      </c>
      <c r="I658">
        <v>2892</v>
      </c>
      <c r="J658">
        <v>18160</v>
      </c>
      <c r="K658">
        <v>411.01</v>
      </c>
      <c r="L658" s="3">
        <f t="shared" si="10"/>
        <v>0.14211964038727523</v>
      </c>
    </row>
    <row r="659" spans="1:12" x14ac:dyDescent="0.3">
      <c r="A659" s="5" t="s">
        <v>76</v>
      </c>
      <c r="B659" t="s">
        <v>34</v>
      </c>
      <c r="C659">
        <v>2025</v>
      </c>
      <c r="D659" t="s">
        <v>18</v>
      </c>
      <c r="E659" t="s">
        <v>26</v>
      </c>
      <c r="F659" t="s">
        <v>42</v>
      </c>
      <c r="G659" t="s">
        <v>20</v>
      </c>
      <c r="H659">
        <v>8</v>
      </c>
      <c r="I659">
        <v>9616</v>
      </c>
      <c r="J659">
        <v>7514</v>
      </c>
      <c r="K659">
        <v>2462.2199999999998</v>
      </c>
      <c r="L659" s="3">
        <f t="shared" si="10"/>
        <v>0.25605449251247919</v>
      </c>
    </row>
    <row r="660" spans="1:12" x14ac:dyDescent="0.3">
      <c r="A660" s="5" t="s">
        <v>256</v>
      </c>
      <c r="B660" t="s">
        <v>22</v>
      </c>
      <c r="C660">
        <v>2025</v>
      </c>
      <c r="D660" t="s">
        <v>23</v>
      </c>
      <c r="E660" t="s">
        <v>28</v>
      </c>
      <c r="F660" t="s">
        <v>42</v>
      </c>
      <c r="G660" t="s">
        <v>20</v>
      </c>
      <c r="H660">
        <v>8</v>
      </c>
      <c r="I660">
        <v>7344</v>
      </c>
      <c r="J660">
        <v>5275</v>
      </c>
      <c r="K660">
        <v>2116.75</v>
      </c>
      <c r="L660" s="3">
        <f t="shared" si="10"/>
        <v>0.28822848583877997</v>
      </c>
    </row>
    <row r="661" spans="1:12" x14ac:dyDescent="0.3">
      <c r="A661" s="5" t="s">
        <v>352</v>
      </c>
      <c r="B661" t="s">
        <v>22</v>
      </c>
      <c r="C661">
        <v>2025</v>
      </c>
      <c r="D661" t="s">
        <v>32</v>
      </c>
      <c r="E661" t="s">
        <v>14</v>
      </c>
      <c r="F661" t="s">
        <v>42</v>
      </c>
      <c r="G661" t="s">
        <v>20</v>
      </c>
      <c r="H661">
        <v>7</v>
      </c>
      <c r="I661">
        <v>7378</v>
      </c>
      <c r="J661">
        <v>13341</v>
      </c>
      <c r="K661">
        <v>778.89</v>
      </c>
      <c r="L661" s="3">
        <f t="shared" si="10"/>
        <v>0.10556925996204933</v>
      </c>
    </row>
    <row r="662" spans="1:12" x14ac:dyDescent="0.3">
      <c r="A662" s="5" t="s">
        <v>270</v>
      </c>
      <c r="B662" t="s">
        <v>37</v>
      </c>
      <c r="C662">
        <v>2025</v>
      </c>
      <c r="D662" t="s">
        <v>18</v>
      </c>
      <c r="E662" t="s">
        <v>28</v>
      </c>
      <c r="F662" t="s">
        <v>35</v>
      </c>
      <c r="G662" t="s">
        <v>20</v>
      </c>
      <c r="H662">
        <v>12</v>
      </c>
      <c r="I662">
        <v>1416</v>
      </c>
      <c r="J662">
        <v>15696</v>
      </c>
      <c r="K662">
        <v>402.69</v>
      </c>
      <c r="L662" s="3">
        <f t="shared" si="10"/>
        <v>0.28438559322033896</v>
      </c>
    </row>
    <row r="663" spans="1:12" x14ac:dyDescent="0.3">
      <c r="A663" s="5" t="s">
        <v>353</v>
      </c>
      <c r="B663" t="s">
        <v>37</v>
      </c>
      <c r="C663">
        <v>2025</v>
      </c>
      <c r="D663" t="s">
        <v>32</v>
      </c>
      <c r="E663" t="s">
        <v>49</v>
      </c>
      <c r="F663" t="s">
        <v>62</v>
      </c>
      <c r="G663" t="s">
        <v>63</v>
      </c>
      <c r="H663">
        <v>3</v>
      </c>
      <c r="I663">
        <v>2049</v>
      </c>
      <c r="J663">
        <v>19498</v>
      </c>
      <c r="K663">
        <v>376.01</v>
      </c>
      <c r="L663" s="3">
        <f t="shared" si="10"/>
        <v>0.1835090287945339</v>
      </c>
    </row>
    <row r="664" spans="1:12" x14ac:dyDescent="0.3">
      <c r="A664" s="5" t="s">
        <v>98</v>
      </c>
      <c r="B664" t="s">
        <v>12</v>
      </c>
      <c r="C664">
        <v>2025</v>
      </c>
      <c r="D664" t="s">
        <v>18</v>
      </c>
      <c r="E664" t="s">
        <v>28</v>
      </c>
      <c r="F664" t="s">
        <v>42</v>
      </c>
      <c r="G664" t="s">
        <v>20</v>
      </c>
      <c r="H664">
        <v>11</v>
      </c>
      <c r="I664">
        <v>14168</v>
      </c>
      <c r="J664">
        <v>15234</v>
      </c>
      <c r="K664">
        <v>1434.7</v>
      </c>
      <c r="L664" s="3">
        <f t="shared" si="10"/>
        <v>0.10126341050254094</v>
      </c>
    </row>
    <row r="665" spans="1:12" x14ac:dyDescent="0.3">
      <c r="A665" s="5" t="s">
        <v>254</v>
      </c>
      <c r="B665" t="s">
        <v>39</v>
      </c>
      <c r="C665">
        <v>2025</v>
      </c>
      <c r="D665" t="s">
        <v>32</v>
      </c>
      <c r="E665" t="s">
        <v>28</v>
      </c>
      <c r="F665" t="s">
        <v>15</v>
      </c>
      <c r="G665" t="s">
        <v>16</v>
      </c>
      <c r="H665">
        <v>16</v>
      </c>
      <c r="I665">
        <v>6896</v>
      </c>
      <c r="J665">
        <v>14603</v>
      </c>
      <c r="K665">
        <v>1766.4</v>
      </c>
      <c r="L665" s="3">
        <f t="shared" si="10"/>
        <v>0.25614849187935035</v>
      </c>
    </row>
    <row r="666" spans="1:12" x14ac:dyDescent="0.3">
      <c r="A666" s="5" t="s">
        <v>195</v>
      </c>
      <c r="B666" t="s">
        <v>45</v>
      </c>
      <c r="C666">
        <v>2025</v>
      </c>
      <c r="D666" t="s">
        <v>23</v>
      </c>
      <c r="E666" t="s">
        <v>28</v>
      </c>
      <c r="F666" t="s">
        <v>35</v>
      </c>
      <c r="G666" t="s">
        <v>20</v>
      </c>
      <c r="H666">
        <v>6</v>
      </c>
      <c r="I666">
        <v>2160</v>
      </c>
      <c r="J666">
        <v>8417</v>
      </c>
      <c r="K666">
        <v>256.18</v>
      </c>
      <c r="L666" s="3">
        <f t="shared" si="10"/>
        <v>0.11860185185185186</v>
      </c>
    </row>
    <row r="667" spans="1:12" x14ac:dyDescent="0.3">
      <c r="A667" s="5" t="s">
        <v>94</v>
      </c>
      <c r="B667" t="s">
        <v>22</v>
      </c>
      <c r="C667">
        <v>2025</v>
      </c>
      <c r="D667" t="s">
        <v>23</v>
      </c>
      <c r="E667" t="s">
        <v>28</v>
      </c>
      <c r="F667" t="s">
        <v>29</v>
      </c>
      <c r="G667" t="s">
        <v>20</v>
      </c>
      <c r="H667">
        <v>12</v>
      </c>
      <c r="I667">
        <v>7068</v>
      </c>
      <c r="J667">
        <v>13412</v>
      </c>
      <c r="K667">
        <v>1313.25</v>
      </c>
      <c r="L667" s="3">
        <f t="shared" si="10"/>
        <v>0.18580220713073006</v>
      </c>
    </row>
    <row r="668" spans="1:12" x14ac:dyDescent="0.3">
      <c r="A668" s="5" t="s">
        <v>314</v>
      </c>
      <c r="B668" t="s">
        <v>41</v>
      </c>
      <c r="C668">
        <v>2025</v>
      </c>
      <c r="D668" t="s">
        <v>23</v>
      </c>
      <c r="E668" t="s">
        <v>26</v>
      </c>
      <c r="F668" t="s">
        <v>35</v>
      </c>
      <c r="G668" t="s">
        <v>20</v>
      </c>
      <c r="H668">
        <v>2</v>
      </c>
      <c r="I668">
        <v>2488</v>
      </c>
      <c r="J668">
        <v>13885</v>
      </c>
      <c r="K668">
        <v>256.52</v>
      </c>
      <c r="L668" s="3">
        <f t="shared" si="10"/>
        <v>0.10310289389067523</v>
      </c>
    </row>
    <row r="669" spans="1:12" x14ac:dyDescent="0.3">
      <c r="A669" s="5" t="s">
        <v>174</v>
      </c>
      <c r="B669" t="s">
        <v>48</v>
      </c>
      <c r="C669">
        <v>2025</v>
      </c>
      <c r="D669" t="s">
        <v>18</v>
      </c>
      <c r="E669" t="s">
        <v>26</v>
      </c>
      <c r="F669" t="s">
        <v>42</v>
      </c>
      <c r="G669" t="s">
        <v>20</v>
      </c>
      <c r="H669">
        <v>4</v>
      </c>
      <c r="I669">
        <v>2004</v>
      </c>
      <c r="J669">
        <v>15345</v>
      </c>
      <c r="K669">
        <v>442.14</v>
      </c>
      <c r="L669" s="3">
        <f t="shared" si="10"/>
        <v>0.22062874251497006</v>
      </c>
    </row>
    <row r="670" spans="1:12" x14ac:dyDescent="0.3">
      <c r="A670" s="5" t="s">
        <v>326</v>
      </c>
      <c r="B670" t="s">
        <v>34</v>
      </c>
      <c r="C670">
        <v>2025</v>
      </c>
      <c r="D670" t="s">
        <v>32</v>
      </c>
      <c r="E670" t="s">
        <v>49</v>
      </c>
      <c r="F670" t="s">
        <v>19</v>
      </c>
      <c r="G670" t="s">
        <v>20</v>
      </c>
      <c r="H670">
        <v>17</v>
      </c>
      <c r="I670">
        <v>7939</v>
      </c>
      <c r="J670">
        <v>5031</v>
      </c>
      <c r="K670">
        <v>1666.39</v>
      </c>
      <c r="L670" s="3">
        <f t="shared" si="10"/>
        <v>0.20989923164126464</v>
      </c>
    </row>
    <row r="671" spans="1:12" x14ac:dyDescent="0.3">
      <c r="A671" s="5" t="s">
        <v>50</v>
      </c>
      <c r="B671" t="s">
        <v>25</v>
      </c>
      <c r="C671">
        <v>2025</v>
      </c>
      <c r="D671" t="s">
        <v>18</v>
      </c>
      <c r="E671" t="s">
        <v>60</v>
      </c>
      <c r="F671" t="s">
        <v>15</v>
      </c>
      <c r="G671" t="s">
        <v>16</v>
      </c>
      <c r="H671">
        <v>4</v>
      </c>
      <c r="I671">
        <v>4216</v>
      </c>
      <c r="J671">
        <v>16850</v>
      </c>
      <c r="K671">
        <v>1178.96</v>
      </c>
      <c r="L671" s="3">
        <f t="shared" si="10"/>
        <v>0.27963946869070211</v>
      </c>
    </row>
    <row r="672" spans="1:12" x14ac:dyDescent="0.3">
      <c r="A672" s="5" t="s">
        <v>279</v>
      </c>
      <c r="B672" t="s">
        <v>45</v>
      </c>
      <c r="C672">
        <v>2025</v>
      </c>
      <c r="D672" t="s">
        <v>32</v>
      </c>
      <c r="E672" t="s">
        <v>26</v>
      </c>
      <c r="F672" t="s">
        <v>42</v>
      </c>
      <c r="G672" t="s">
        <v>20</v>
      </c>
      <c r="H672">
        <v>11</v>
      </c>
      <c r="I672">
        <v>11726</v>
      </c>
      <c r="J672">
        <v>11921</v>
      </c>
      <c r="K672">
        <v>3080.94</v>
      </c>
      <c r="L672" s="3">
        <f t="shared" si="10"/>
        <v>0.26274432884188981</v>
      </c>
    </row>
    <row r="673" spans="1:12" x14ac:dyDescent="0.3">
      <c r="A673" s="5" t="s">
        <v>354</v>
      </c>
      <c r="B673" t="s">
        <v>25</v>
      </c>
      <c r="C673">
        <v>2025</v>
      </c>
      <c r="D673" t="s">
        <v>13</v>
      </c>
      <c r="E673" t="s">
        <v>49</v>
      </c>
      <c r="F673" t="s">
        <v>15</v>
      </c>
      <c r="G673" t="s">
        <v>16</v>
      </c>
      <c r="H673">
        <v>2</v>
      </c>
      <c r="I673">
        <v>970</v>
      </c>
      <c r="J673">
        <v>5017</v>
      </c>
      <c r="K673">
        <v>158.28</v>
      </c>
      <c r="L673" s="3">
        <f t="shared" si="10"/>
        <v>0.16317525773195876</v>
      </c>
    </row>
    <row r="674" spans="1:12" x14ac:dyDescent="0.3">
      <c r="A674" s="5" t="s">
        <v>260</v>
      </c>
      <c r="B674" t="s">
        <v>22</v>
      </c>
      <c r="C674">
        <v>2025</v>
      </c>
      <c r="D674" t="s">
        <v>18</v>
      </c>
      <c r="E674" t="s">
        <v>28</v>
      </c>
      <c r="F674" t="s">
        <v>62</v>
      </c>
      <c r="G674" t="s">
        <v>63</v>
      </c>
      <c r="H674">
        <v>5</v>
      </c>
      <c r="I674">
        <v>960</v>
      </c>
      <c r="J674">
        <v>7497</v>
      </c>
      <c r="K674">
        <v>228.64</v>
      </c>
      <c r="L674" s="3">
        <f t="shared" si="10"/>
        <v>0.23816666666666667</v>
      </c>
    </row>
    <row r="675" spans="1:12" x14ac:dyDescent="0.3">
      <c r="A675" s="5" t="s">
        <v>208</v>
      </c>
      <c r="B675" t="s">
        <v>57</v>
      </c>
      <c r="C675">
        <v>2025</v>
      </c>
      <c r="D675" t="s">
        <v>32</v>
      </c>
      <c r="E675" t="s">
        <v>60</v>
      </c>
      <c r="F675" t="s">
        <v>29</v>
      </c>
      <c r="G675" t="s">
        <v>20</v>
      </c>
      <c r="H675">
        <v>2</v>
      </c>
      <c r="I675">
        <v>306</v>
      </c>
      <c r="J675">
        <v>13525</v>
      </c>
      <c r="K675">
        <v>67.98</v>
      </c>
      <c r="L675" s="3">
        <f t="shared" si="10"/>
        <v>0.22215686274509805</v>
      </c>
    </row>
    <row r="676" spans="1:12" x14ac:dyDescent="0.3">
      <c r="A676" s="5" t="s">
        <v>240</v>
      </c>
      <c r="B676" t="s">
        <v>22</v>
      </c>
      <c r="C676">
        <v>2025</v>
      </c>
      <c r="D676" t="s">
        <v>13</v>
      </c>
      <c r="E676" t="s">
        <v>28</v>
      </c>
      <c r="F676" t="s">
        <v>42</v>
      </c>
      <c r="G676" t="s">
        <v>20</v>
      </c>
      <c r="H676">
        <v>20</v>
      </c>
      <c r="I676">
        <v>14420</v>
      </c>
      <c r="J676">
        <v>17648</v>
      </c>
      <c r="K676">
        <v>3132.73</v>
      </c>
      <c r="L676" s="3">
        <f t="shared" si="10"/>
        <v>0.217248959778086</v>
      </c>
    </row>
    <row r="677" spans="1:12" x14ac:dyDescent="0.3">
      <c r="A677" s="5" t="s">
        <v>142</v>
      </c>
      <c r="B677" t="s">
        <v>25</v>
      </c>
      <c r="C677">
        <v>2025</v>
      </c>
      <c r="D677" t="s">
        <v>18</v>
      </c>
      <c r="E677" t="s">
        <v>60</v>
      </c>
      <c r="F677" t="s">
        <v>15</v>
      </c>
      <c r="G677" t="s">
        <v>16</v>
      </c>
      <c r="H677">
        <v>19</v>
      </c>
      <c r="I677">
        <v>2432</v>
      </c>
      <c r="J677">
        <v>17452</v>
      </c>
      <c r="K677">
        <v>450.51</v>
      </c>
      <c r="L677" s="3">
        <f t="shared" si="10"/>
        <v>0.18524259868421053</v>
      </c>
    </row>
    <row r="678" spans="1:12" x14ac:dyDescent="0.3">
      <c r="A678" s="5" t="s">
        <v>355</v>
      </c>
      <c r="B678" t="s">
        <v>85</v>
      </c>
      <c r="C678">
        <v>2025</v>
      </c>
      <c r="D678" t="s">
        <v>13</v>
      </c>
      <c r="E678" t="s">
        <v>49</v>
      </c>
      <c r="F678" t="s">
        <v>15</v>
      </c>
      <c r="G678" t="s">
        <v>16</v>
      </c>
      <c r="H678">
        <v>9</v>
      </c>
      <c r="I678">
        <v>10485</v>
      </c>
      <c r="J678">
        <v>14863</v>
      </c>
      <c r="K678">
        <v>2955.43</v>
      </c>
      <c r="L678" s="3">
        <f t="shared" si="10"/>
        <v>0.28187219837863614</v>
      </c>
    </row>
    <row r="679" spans="1:12" x14ac:dyDescent="0.3">
      <c r="A679" s="5" t="s">
        <v>167</v>
      </c>
      <c r="B679" t="s">
        <v>45</v>
      </c>
      <c r="C679">
        <v>2025</v>
      </c>
      <c r="D679" t="s">
        <v>23</v>
      </c>
      <c r="E679" t="s">
        <v>60</v>
      </c>
      <c r="F679" t="s">
        <v>42</v>
      </c>
      <c r="G679" t="s">
        <v>20</v>
      </c>
      <c r="H679">
        <v>20</v>
      </c>
      <c r="I679">
        <v>21520</v>
      </c>
      <c r="J679">
        <v>19121</v>
      </c>
      <c r="K679">
        <v>5105.3100000000004</v>
      </c>
      <c r="L679" s="3">
        <f t="shared" si="10"/>
        <v>0.23723559479553905</v>
      </c>
    </row>
    <row r="680" spans="1:12" x14ac:dyDescent="0.3">
      <c r="A680" s="5" t="s">
        <v>59</v>
      </c>
      <c r="B680" t="s">
        <v>57</v>
      </c>
      <c r="C680">
        <v>2025</v>
      </c>
      <c r="D680" t="s">
        <v>13</v>
      </c>
      <c r="E680" t="s">
        <v>28</v>
      </c>
      <c r="F680" t="s">
        <v>15</v>
      </c>
      <c r="G680" t="s">
        <v>16</v>
      </c>
      <c r="H680">
        <v>19</v>
      </c>
      <c r="I680">
        <v>21204</v>
      </c>
      <c r="J680">
        <v>7946</v>
      </c>
      <c r="K680">
        <v>2737.3</v>
      </c>
      <c r="L680" s="3">
        <f t="shared" si="10"/>
        <v>0.12909356725146201</v>
      </c>
    </row>
    <row r="681" spans="1:12" x14ac:dyDescent="0.3">
      <c r="A681" s="5" t="s">
        <v>198</v>
      </c>
      <c r="B681" t="s">
        <v>37</v>
      </c>
      <c r="C681">
        <v>2025</v>
      </c>
      <c r="D681" t="s">
        <v>32</v>
      </c>
      <c r="E681" t="s">
        <v>26</v>
      </c>
      <c r="F681" t="s">
        <v>15</v>
      </c>
      <c r="G681" t="s">
        <v>16</v>
      </c>
      <c r="H681">
        <v>1</v>
      </c>
      <c r="I681">
        <v>212</v>
      </c>
      <c r="J681">
        <v>17377</v>
      </c>
      <c r="K681">
        <v>26.74</v>
      </c>
      <c r="L681" s="3">
        <f t="shared" si="10"/>
        <v>0.12613207547169811</v>
      </c>
    </row>
    <row r="682" spans="1:12" x14ac:dyDescent="0.3">
      <c r="A682" s="5" t="s">
        <v>186</v>
      </c>
      <c r="B682" t="s">
        <v>45</v>
      </c>
      <c r="C682">
        <v>2025</v>
      </c>
      <c r="D682" t="s">
        <v>32</v>
      </c>
      <c r="E682" t="s">
        <v>49</v>
      </c>
      <c r="F682" t="s">
        <v>19</v>
      </c>
      <c r="G682" t="s">
        <v>20</v>
      </c>
      <c r="H682">
        <v>8</v>
      </c>
      <c r="I682">
        <v>7280</v>
      </c>
      <c r="J682">
        <v>10737</v>
      </c>
      <c r="K682">
        <v>1238.4100000000001</v>
      </c>
      <c r="L682" s="3">
        <f t="shared" si="10"/>
        <v>0.17011126373626376</v>
      </c>
    </row>
    <row r="683" spans="1:12" x14ac:dyDescent="0.3">
      <c r="A683" s="5" t="s">
        <v>356</v>
      </c>
      <c r="B683" t="s">
        <v>39</v>
      </c>
      <c r="C683">
        <v>2025</v>
      </c>
      <c r="D683" t="s">
        <v>13</v>
      </c>
      <c r="E683" t="s">
        <v>14</v>
      </c>
      <c r="F683" t="s">
        <v>29</v>
      </c>
      <c r="G683" t="s">
        <v>20</v>
      </c>
      <c r="H683">
        <v>5</v>
      </c>
      <c r="I683">
        <v>1235</v>
      </c>
      <c r="J683">
        <v>17066</v>
      </c>
      <c r="K683">
        <v>333.69</v>
      </c>
      <c r="L683" s="3">
        <f t="shared" si="10"/>
        <v>0.27019433198380566</v>
      </c>
    </row>
    <row r="684" spans="1:12" x14ac:dyDescent="0.3">
      <c r="A684" s="5" t="s">
        <v>75</v>
      </c>
      <c r="B684" t="s">
        <v>31</v>
      </c>
      <c r="C684">
        <v>2025</v>
      </c>
      <c r="D684" t="s">
        <v>23</v>
      </c>
      <c r="E684" t="s">
        <v>14</v>
      </c>
      <c r="F684" t="s">
        <v>15</v>
      </c>
      <c r="G684" t="s">
        <v>16</v>
      </c>
      <c r="H684">
        <v>9</v>
      </c>
      <c r="I684">
        <v>999</v>
      </c>
      <c r="J684">
        <v>16132</v>
      </c>
      <c r="K684">
        <v>202.91</v>
      </c>
      <c r="L684" s="3">
        <f t="shared" si="10"/>
        <v>0.20311311311311311</v>
      </c>
    </row>
    <row r="685" spans="1:12" x14ac:dyDescent="0.3">
      <c r="A685" s="5" t="s">
        <v>249</v>
      </c>
      <c r="B685" t="s">
        <v>39</v>
      </c>
      <c r="C685">
        <v>2025</v>
      </c>
      <c r="D685" t="s">
        <v>32</v>
      </c>
      <c r="E685" t="s">
        <v>26</v>
      </c>
      <c r="F685" t="s">
        <v>35</v>
      </c>
      <c r="G685" t="s">
        <v>20</v>
      </c>
      <c r="H685">
        <v>15</v>
      </c>
      <c r="I685">
        <v>21855</v>
      </c>
      <c r="J685">
        <v>9046</v>
      </c>
      <c r="K685">
        <v>3458.83</v>
      </c>
      <c r="L685" s="3">
        <f t="shared" si="10"/>
        <v>0.15826264012811714</v>
      </c>
    </row>
    <row r="686" spans="1:12" x14ac:dyDescent="0.3">
      <c r="A686" s="5" t="s">
        <v>266</v>
      </c>
      <c r="B686" t="s">
        <v>85</v>
      </c>
      <c r="C686">
        <v>2025</v>
      </c>
      <c r="D686" t="s">
        <v>32</v>
      </c>
      <c r="E686" t="s">
        <v>60</v>
      </c>
      <c r="F686" t="s">
        <v>29</v>
      </c>
      <c r="G686" t="s">
        <v>20</v>
      </c>
      <c r="H686">
        <v>17</v>
      </c>
      <c r="I686">
        <v>14365</v>
      </c>
      <c r="J686">
        <v>18293</v>
      </c>
      <c r="K686">
        <v>3893.7</v>
      </c>
      <c r="L686" s="3">
        <f t="shared" si="10"/>
        <v>0.2710546467107553</v>
      </c>
    </row>
    <row r="687" spans="1:12" x14ac:dyDescent="0.3">
      <c r="A687" s="5" t="s">
        <v>264</v>
      </c>
      <c r="B687" t="s">
        <v>85</v>
      </c>
      <c r="C687">
        <v>2025</v>
      </c>
      <c r="D687" t="s">
        <v>32</v>
      </c>
      <c r="E687" t="s">
        <v>28</v>
      </c>
      <c r="F687" t="s">
        <v>35</v>
      </c>
      <c r="G687" t="s">
        <v>20</v>
      </c>
      <c r="H687">
        <v>17</v>
      </c>
      <c r="I687">
        <v>12495</v>
      </c>
      <c r="J687">
        <v>12565</v>
      </c>
      <c r="K687">
        <v>1712.75</v>
      </c>
      <c r="L687" s="3">
        <f t="shared" si="10"/>
        <v>0.13707482993197279</v>
      </c>
    </row>
    <row r="688" spans="1:12" x14ac:dyDescent="0.3">
      <c r="A688" s="5" t="s">
        <v>257</v>
      </c>
      <c r="B688" t="s">
        <v>85</v>
      </c>
      <c r="C688">
        <v>2025</v>
      </c>
      <c r="D688" t="s">
        <v>18</v>
      </c>
      <c r="E688" t="s">
        <v>14</v>
      </c>
      <c r="F688" t="s">
        <v>62</v>
      </c>
      <c r="G688" t="s">
        <v>63</v>
      </c>
      <c r="H688">
        <v>5</v>
      </c>
      <c r="I688">
        <v>2730</v>
      </c>
      <c r="J688">
        <v>10073</v>
      </c>
      <c r="K688">
        <v>549.28</v>
      </c>
      <c r="L688" s="3">
        <f t="shared" si="10"/>
        <v>0.2012014652014652</v>
      </c>
    </row>
    <row r="689" spans="1:12" x14ac:dyDescent="0.3">
      <c r="A689" s="5" t="s">
        <v>357</v>
      </c>
      <c r="B689" t="s">
        <v>25</v>
      </c>
      <c r="C689">
        <v>2025</v>
      </c>
      <c r="D689" t="s">
        <v>13</v>
      </c>
      <c r="E689" t="s">
        <v>14</v>
      </c>
      <c r="F689" t="s">
        <v>15</v>
      </c>
      <c r="G689" t="s">
        <v>16</v>
      </c>
      <c r="H689">
        <v>10</v>
      </c>
      <c r="I689">
        <v>1280</v>
      </c>
      <c r="J689">
        <v>10759</v>
      </c>
      <c r="K689">
        <v>236.65</v>
      </c>
      <c r="L689" s="3">
        <f t="shared" si="10"/>
        <v>0.18488281249999999</v>
      </c>
    </row>
    <row r="690" spans="1:12" x14ac:dyDescent="0.3">
      <c r="A690" s="5" t="s">
        <v>270</v>
      </c>
      <c r="B690" t="s">
        <v>37</v>
      </c>
      <c r="C690">
        <v>2025</v>
      </c>
      <c r="D690" t="s">
        <v>32</v>
      </c>
      <c r="E690" t="s">
        <v>49</v>
      </c>
      <c r="F690" t="s">
        <v>62</v>
      </c>
      <c r="G690" t="s">
        <v>63</v>
      </c>
      <c r="H690">
        <v>12</v>
      </c>
      <c r="I690">
        <v>8280</v>
      </c>
      <c r="J690">
        <v>18584</v>
      </c>
      <c r="K690">
        <v>1203.82</v>
      </c>
      <c r="L690" s="3">
        <f t="shared" si="10"/>
        <v>0.14538888888888887</v>
      </c>
    </row>
    <row r="691" spans="1:12" x14ac:dyDescent="0.3">
      <c r="A691" s="5" t="s">
        <v>118</v>
      </c>
      <c r="B691" t="s">
        <v>31</v>
      </c>
      <c r="C691">
        <v>2025</v>
      </c>
      <c r="D691" t="s">
        <v>13</v>
      </c>
      <c r="E691" t="s">
        <v>28</v>
      </c>
      <c r="F691" t="s">
        <v>62</v>
      </c>
      <c r="G691" t="s">
        <v>63</v>
      </c>
      <c r="H691">
        <v>2</v>
      </c>
      <c r="I691">
        <v>2246</v>
      </c>
      <c r="J691">
        <v>6458</v>
      </c>
      <c r="K691">
        <v>546.16999999999996</v>
      </c>
      <c r="L691" s="3">
        <f t="shared" si="10"/>
        <v>0.24317453250222615</v>
      </c>
    </row>
    <row r="692" spans="1:12" x14ac:dyDescent="0.3">
      <c r="A692" s="5" t="s">
        <v>235</v>
      </c>
      <c r="B692" t="s">
        <v>57</v>
      </c>
      <c r="C692">
        <v>2025</v>
      </c>
      <c r="D692" t="s">
        <v>23</v>
      </c>
      <c r="E692" t="s">
        <v>49</v>
      </c>
      <c r="F692" t="s">
        <v>62</v>
      </c>
      <c r="G692" t="s">
        <v>63</v>
      </c>
      <c r="H692">
        <v>15</v>
      </c>
      <c r="I692">
        <v>14145</v>
      </c>
      <c r="J692">
        <v>19247</v>
      </c>
      <c r="K692">
        <v>2437.62</v>
      </c>
      <c r="L692" s="3">
        <f t="shared" si="10"/>
        <v>0.1723308589607635</v>
      </c>
    </row>
    <row r="693" spans="1:12" x14ac:dyDescent="0.3">
      <c r="A693" s="5" t="s">
        <v>191</v>
      </c>
      <c r="B693" t="s">
        <v>37</v>
      </c>
      <c r="C693">
        <v>2025</v>
      </c>
      <c r="D693" t="s">
        <v>13</v>
      </c>
      <c r="E693" t="s">
        <v>49</v>
      </c>
      <c r="F693" t="s">
        <v>19</v>
      </c>
      <c r="G693" t="s">
        <v>20</v>
      </c>
      <c r="H693">
        <v>6</v>
      </c>
      <c r="I693">
        <v>6588</v>
      </c>
      <c r="J693">
        <v>11768</v>
      </c>
      <c r="K693">
        <v>1152.04</v>
      </c>
      <c r="L693" s="3">
        <f t="shared" si="10"/>
        <v>0.17486945962355799</v>
      </c>
    </row>
    <row r="694" spans="1:12" x14ac:dyDescent="0.3">
      <c r="A694" s="5" t="s">
        <v>293</v>
      </c>
      <c r="B694" t="s">
        <v>48</v>
      </c>
      <c r="C694">
        <v>2025</v>
      </c>
      <c r="D694" t="s">
        <v>18</v>
      </c>
      <c r="E694" t="s">
        <v>60</v>
      </c>
      <c r="F694" t="s">
        <v>42</v>
      </c>
      <c r="G694" t="s">
        <v>20</v>
      </c>
      <c r="H694">
        <v>18</v>
      </c>
      <c r="I694">
        <v>2970</v>
      </c>
      <c r="J694">
        <v>16694</v>
      </c>
      <c r="K694">
        <v>354.96</v>
      </c>
      <c r="L694" s="3">
        <f t="shared" si="10"/>
        <v>0.1195151515151515</v>
      </c>
    </row>
    <row r="695" spans="1:12" x14ac:dyDescent="0.3">
      <c r="A695" s="5" t="s">
        <v>358</v>
      </c>
      <c r="B695" t="s">
        <v>41</v>
      </c>
      <c r="C695">
        <v>2025</v>
      </c>
      <c r="D695" t="s">
        <v>32</v>
      </c>
      <c r="E695" t="s">
        <v>26</v>
      </c>
      <c r="F695" t="s">
        <v>15</v>
      </c>
      <c r="G695" t="s">
        <v>16</v>
      </c>
      <c r="H695">
        <v>2</v>
      </c>
      <c r="I695">
        <v>1898</v>
      </c>
      <c r="J695">
        <v>12672</v>
      </c>
      <c r="K695">
        <v>548.82000000000005</v>
      </c>
      <c r="L695" s="3">
        <f t="shared" si="10"/>
        <v>0.28915700737618549</v>
      </c>
    </row>
    <row r="696" spans="1:12" x14ac:dyDescent="0.3">
      <c r="A696" s="5" t="s">
        <v>359</v>
      </c>
      <c r="B696" t="s">
        <v>31</v>
      </c>
      <c r="C696">
        <v>2025</v>
      </c>
      <c r="D696" t="s">
        <v>18</v>
      </c>
      <c r="E696" t="s">
        <v>49</v>
      </c>
      <c r="F696" t="s">
        <v>35</v>
      </c>
      <c r="G696" t="s">
        <v>20</v>
      </c>
      <c r="H696">
        <v>8</v>
      </c>
      <c r="I696">
        <v>5696</v>
      </c>
      <c r="J696">
        <v>6348</v>
      </c>
      <c r="K696">
        <v>1478.41</v>
      </c>
      <c r="L696" s="3">
        <f t="shared" si="10"/>
        <v>0.25955231741573037</v>
      </c>
    </row>
    <row r="697" spans="1:12" x14ac:dyDescent="0.3">
      <c r="A697" s="5" t="s">
        <v>360</v>
      </c>
      <c r="B697" t="s">
        <v>45</v>
      </c>
      <c r="C697">
        <v>2025</v>
      </c>
      <c r="D697" t="s">
        <v>13</v>
      </c>
      <c r="E697" t="s">
        <v>49</v>
      </c>
      <c r="F697" t="s">
        <v>62</v>
      </c>
      <c r="G697" t="s">
        <v>63</v>
      </c>
      <c r="H697">
        <v>8</v>
      </c>
      <c r="I697">
        <v>5808</v>
      </c>
      <c r="J697">
        <v>5121</v>
      </c>
      <c r="K697">
        <v>1648.36</v>
      </c>
      <c r="L697" s="3">
        <f t="shared" si="10"/>
        <v>0.28380853994490357</v>
      </c>
    </row>
    <row r="698" spans="1:12" x14ac:dyDescent="0.3">
      <c r="A698" s="5" t="s">
        <v>333</v>
      </c>
      <c r="B698" t="s">
        <v>31</v>
      </c>
      <c r="C698">
        <v>2025</v>
      </c>
      <c r="D698" t="s">
        <v>23</v>
      </c>
      <c r="E698" t="s">
        <v>28</v>
      </c>
      <c r="F698" t="s">
        <v>19</v>
      </c>
      <c r="G698" t="s">
        <v>20</v>
      </c>
      <c r="H698">
        <v>10</v>
      </c>
      <c r="I698">
        <v>3170</v>
      </c>
      <c r="J698">
        <v>19411</v>
      </c>
      <c r="K698">
        <v>807.76</v>
      </c>
      <c r="L698" s="3">
        <f t="shared" si="10"/>
        <v>0.25481388012618295</v>
      </c>
    </row>
    <row r="699" spans="1:12" x14ac:dyDescent="0.3">
      <c r="A699" s="5" t="s">
        <v>21</v>
      </c>
      <c r="B699" t="s">
        <v>22</v>
      </c>
      <c r="C699">
        <v>2025</v>
      </c>
      <c r="D699" t="s">
        <v>23</v>
      </c>
      <c r="E699" t="s">
        <v>28</v>
      </c>
      <c r="F699" t="s">
        <v>15</v>
      </c>
      <c r="G699" t="s">
        <v>16</v>
      </c>
      <c r="H699">
        <v>8</v>
      </c>
      <c r="I699">
        <v>5152</v>
      </c>
      <c r="J699">
        <v>19172</v>
      </c>
      <c r="K699">
        <v>1020.29</v>
      </c>
      <c r="L699" s="3">
        <f t="shared" si="10"/>
        <v>0.19803765527950309</v>
      </c>
    </row>
    <row r="700" spans="1:12" x14ac:dyDescent="0.3">
      <c r="A700" s="5" t="s">
        <v>267</v>
      </c>
      <c r="B700" t="s">
        <v>45</v>
      </c>
      <c r="C700">
        <v>2025</v>
      </c>
      <c r="D700" t="s">
        <v>18</v>
      </c>
      <c r="E700" t="s">
        <v>60</v>
      </c>
      <c r="F700" t="s">
        <v>29</v>
      </c>
      <c r="G700" t="s">
        <v>20</v>
      </c>
      <c r="H700">
        <v>1</v>
      </c>
      <c r="I700">
        <v>785</v>
      </c>
      <c r="J700">
        <v>15783</v>
      </c>
      <c r="K700">
        <v>154.58000000000001</v>
      </c>
      <c r="L700" s="3">
        <f t="shared" si="10"/>
        <v>0.19691719745222933</v>
      </c>
    </row>
    <row r="701" spans="1:12" x14ac:dyDescent="0.3">
      <c r="A701" s="5" t="s">
        <v>358</v>
      </c>
      <c r="B701" t="s">
        <v>41</v>
      </c>
      <c r="C701">
        <v>2025</v>
      </c>
      <c r="D701" t="s">
        <v>18</v>
      </c>
      <c r="E701" t="s">
        <v>28</v>
      </c>
      <c r="F701" t="s">
        <v>15</v>
      </c>
      <c r="G701" t="s">
        <v>16</v>
      </c>
      <c r="H701">
        <v>17</v>
      </c>
      <c r="I701">
        <v>22083</v>
      </c>
      <c r="J701">
        <v>15823</v>
      </c>
      <c r="K701">
        <v>5828.82</v>
      </c>
      <c r="L701" s="3">
        <f t="shared" si="10"/>
        <v>0.2639505501969841</v>
      </c>
    </row>
    <row r="702" spans="1:12" x14ac:dyDescent="0.3">
      <c r="A702" s="5" t="s">
        <v>340</v>
      </c>
      <c r="B702" t="s">
        <v>85</v>
      </c>
      <c r="C702">
        <v>2025</v>
      </c>
      <c r="D702" t="s">
        <v>18</v>
      </c>
      <c r="E702" t="s">
        <v>60</v>
      </c>
      <c r="F702" t="s">
        <v>62</v>
      </c>
      <c r="G702" t="s">
        <v>63</v>
      </c>
      <c r="H702">
        <v>10</v>
      </c>
      <c r="I702">
        <v>2950</v>
      </c>
      <c r="J702">
        <v>16649</v>
      </c>
      <c r="K702">
        <v>864.82</v>
      </c>
      <c r="L702" s="3">
        <f t="shared" si="10"/>
        <v>0.29315932203389833</v>
      </c>
    </row>
    <row r="703" spans="1:12" x14ac:dyDescent="0.3">
      <c r="A703" s="5" t="s">
        <v>319</v>
      </c>
      <c r="B703" t="s">
        <v>85</v>
      </c>
      <c r="C703">
        <v>2025</v>
      </c>
      <c r="D703" t="s">
        <v>18</v>
      </c>
      <c r="E703" t="s">
        <v>60</v>
      </c>
      <c r="F703" t="s">
        <v>42</v>
      </c>
      <c r="G703" t="s">
        <v>20</v>
      </c>
      <c r="H703">
        <v>7</v>
      </c>
      <c r="I703">
        <v>9527</v>
      </c>
      <c r="J703">
        <v>12444</v>
      </c>
      <c r="K703">
        <v>1693.73</v>
      </c>
      <c r="L703" s="3">
        <f t="shared" si="10"/>
        <v>0.1777820929988454</v>
      </c>
    </row>
    <row r="704" spans="1:12" x14ac:dyDescent="0.3">
      <c r="A704" s="5" t="s">
        <v>260</v>
      </c>
      <c r="B704" t="s">
        <v>22</v>
      </c>
      <c r="C704">
        <v>2025</v>
      </c>
      <c r="D704" t="s">
        <v>32</v>
      </c>
      <c r="E704" t="s">
        <v>49</v>
      </c>
      <c r="F704" t="s">
        <v>35</v>
      </c>
      <c r="G704" t="s">
        <v>20</v>
      </c>
      <c r="H704">
        <v>12</v>
      </c>
      <c r="I704">
        <v>3384</v>
      </c>
      <c r="J704">
        <v>8505</v>
      </c>
      <c r="K704">
        <v>550.72</v>
      </c>
      <c r="L704" s="3">
        <f t="shared" si="10"/>
        <v>0.16274231678486997</v>
      </c>
    </row>
    <row r="705" spans="1:12" x14ac:dyDescent="0.3">
      <c r="A705" s="5" t="s">
        <v>226</v>
      </c>
      <c r="B705" t="s">
        <v>31</v>
      </c>
      <c r="C705">
        <v>2025</v>
      </c>
      <c r="D705" t="s">
        <v>13</v>
      </c>
      <c r="E705" t="s">
        <v>14</v>
      </c>
      <c r="F705" t="s">
        <v>15</v>
      </c>
      <c r="G705" t="s">
        <v>16</v>
      </c>
      <c r="H705">
        <v>8</v>
      </c>
      <c r="I705">
        <v>2712</v>
      </c>
      <c r="J705">
        <v>19376</v>
      </c>
      <c r="K705">
        <v>373.89</v>
      </c>
      <c r="L705" s="3">
        <f t="shared" si="10"/>
        <v>0.13786504424778762</v>
      </c>
    </row>
    <row r="706" spans="1:12" x14ac:dyDescent="0.3">
      <c r="A706" s="5" t="s">
        <v>250</v>
      </c>
      <c r="B706" t="s">
        <v>57</v>
      </c>
      <c r="C706">
        <v>2025</v>
      </c>
      <c r="D706" t="s">
        <v>13</v>
      </c>
      <c r="E706" t="s">
        <v>26</v>
      </c>
      <c r="F706" t="s">
        <v>29</v>
      </c>
      <c r="G706" t="s">
        <v>20</v>
      </c>
      <c r="H706">
        <v>5</v>
      </c>
      <c r="I706">
        <v>4570</v>
      </c>
      <c r="J706">
        <v>16048</v>
      </c>
      <c r="K706">
        <v>896.27</v>
      </c>
      <c r="L706" s="3">
        <f t="shared" si="10"/>
        <v>0.19612035010940918</v>
      </c>
    </row>
    <row r="707" spans="1:12" x14ac:dyDescent="0.3">
      <c r="A707" s="5" t="s">
        <v>250</v>
      </c>
      <c r="B707" t="s">
        <v>57</v>
      </c>
      <c r="C707">
        <v>2025</v>
      </c>
      <c r="D707" t="s">
        <v>18</v>
      </c>
      <c r="E707" t="s">
        <v>49</v>
      </c>
      <c r="F707" t="s">
        <v>29</v>
      </c>
      <c r="G707" t="s">
        <v>20</v>
      </c>
      <c r="H707">
        <v>1</v>
      </c>
      <c r="I707">
        <v>1135</v>
      </c>
      <c r="J707">
        <v>19930</v>
      </c>
      <c r="K707">
        <v>188.77</v>
      </c>
      <c r="L707" s="3">
        <f t="shared" ref="L707:L770" si="11">K707/I707</f>
        <v>0.16631718061674008</v>
      </c>
    </row>
    <row r="708" spans="1:12" x14ac:dyDescent="0.3">
      <c r="A708" s="5" t="s">
        <v>328</v>
      </c>
      <c r="B708" t="s">
        <v>12</v>
      </c>
      <c r="C708">
        <v>2025</v>
      </c>
      <c r="D708" t="s">
        <v>32</v>
      </c>
      <c r="E708" t="s">
        <v>60</v>
      </c>
      <c r="F708" t="s">
        <v>19</v>
      </c>
      <c r="G708" t="s">
        <v>20</v>
      </c>
      <c r="H708">
        <v>15</v>
      </c>
      <c r="I708">
        <v>5265</v>
      </c>
      <c r="J708">
        <v>5184</v>
      </c>
      <c r="K708">
        <v>1410.13</v>
      </c>
      <c r="L708" s="3">
        <f t="shared" si="11"/>
        <v>0.2678309591642925</v>
      </c>
    </row>
    <row r="709" spans="1:12" x14ac:dyDescent="0.3">
      <c r="A709" s="5" t="s">
        <v>272</v>
      </c>
      <c r="B709" t="s">
        <v>57</v>
      </c>
      <c r="C709">
        <v>2025</v>
      </c>
      <c r="D709" t="s">
        <v>23</v>
      </c>
      <c r="E709" t="s">
        <v>49</v>
      </c>
      <c r="F709" t="s">
        <v>35</v>
      </c>
      <c r="G709" t="s">
        <v>20</v>
      </c>
      <c r="H709">
        <v>14</v>
      </c>
      <c r="I709">
        <v>3416</v>
      </c>
      <c r="J709">
        <v>14265</v>
      </c>
      <c r="K709">
        <v>431.01</v>
      </c>
      <c r="L709" s="3">
        <f t="shared" si="11"/>
        <v>0.126173887587822</v>
      </c>
    </row>
    <row r="710" spans="1:12" x14ac:dyDescent="0.3">
      <c r="A710" s="5" t="s">
        <v>359</v>
      </c>
      <c r="B710" t="s">
        <v>31</v>
      </c>
      <c r="C710">
        <v>2025</v>
      </c>
      <c r="D710" t="s">
        <v>13</v>
      </c>
      <c r="E710" t="s">
        <v>28</v>
      </c>
      <c r="F710" t="s">
        <v>19</v>
      </c>
      <c r="G710" t="s">
        <v>20</v>
      </c>
      <c r="H710">
        <v>20</v>
      </c>
      <c r="I710">
        <v>22880</v>
      </c>
      <c r="J710">
        <v>11473</v>
      </c>
      <c r="K710">
        <v>6751.62</v>
      </c>
      <c r="L710" s="3">
        <f t="shared" si="11"/>
        <v>0.29508828671328668</v>
      </c>
    </row>
    <row r="711" spans="1:12" x14ac:dyDescent="0.3">
      <c r="A711" s="5" t="s">
        <v>235</v>
      </c>
      <c r="B711" t="s">
        <v>57</v>
      </c>
      <c r="C711">
        <v>2025</v>
      </c>
      <c r="D711" t="s">
        <v>18</v>
      </c>
      <c r="E711" t="s">
        <v>26</v>
      </c>
      <c r="F711" t="s">
        <v>62</v>
      </c>
      <c r="G711" t="s">
        <v>63</v>
      </c>
      <c r="H711">
        <v>19</v>
      </c>
      <c r="I711">
        <v>20235</v>
      </c>
      <c r="J711">
        <v>14775</v>
      </c>
      <c r="K711">
        <v>3689.07</v>
      </c>
      <c r="L711" s="3">
        <f t="shared" si="11"/>
        <v>0.18231134173461824</v>
      </c>
    </row>
    <row r="712" spans="1:12" x14ac:dyDescent="0.3">
      <c r="A712" s="5" t="s">
        <v>281</v>
      </c>
      <c r="B712" t="s">
        <v>41</v>
      </c>
      <c r="C712">
        <v>2025</v>
      </c>
      <c r="D712" t="s">
        <v>23</v>
      </c>
      <c r="E712" t="s">
        <v>49</v>
      </c>
      <c r="F712" t="s">
        <v>42</v>
      </c>
      <c r="G712" t="s">
        <v>20</v>
      </c>
      <c r="H712">
        <v>1</v>
      </c>
      <c r="I712">
        <v>103</v>
      </c>
      <c r="J712">
        <v>6778</v>
      </c>
      <c r="K712">
        <v>21.17</v>
      </c>
      <c r="L712" s="3">
        <f t="shared" si="11"/>
        <v>0.20553398058252428</v>
      </c>
    </row>
    <row r="713" spans="1:12" x14ac:dyDescent="0.3">
      <c r="A713" s="5" t="s">
        <v>328</v>
      </c>
      <c r="B713" t="s">
        <v>12</v>
      </c>
      <c r="C713">
        <v>2025</v>
      </c>
      <c r="D713" t="s">
        <v>13</v>
      </c>
      <c r="E713" t="s">
        <v>28</v>
      </c>
      <c r="F713" t="s">
        <v>35</v>
      </c>
      <c r="G713" t="s">
        <v>20</v>
      </c>
      <c r="H713">
        <v>15</v>
      </c>
      <c r="I713">
        <v>17940</v>
      </c>
      <c r="J713">
        <v>5069</v>
      </c>
      <c r="K713">
        <v>3719.32</v>
      </c>
      <c r="L713" s="3">
        <f t="shared" si="11"/>
        <v>0.20731995540691195</v>
      </c>
    </row>
    <row r="714" spans="1:12" x14ac:dyDescent="0.3">
      <c r="A714" s="5" t="s">
        <v>294</v>
      </c>
      <c r="B714" t="s">
        <v>39</v>
      </c>
      <c r="C714">
        <v>2025</v>
      </c>
      <c r="D714" t="s">
        <v>32</v>
      </c>
      <c r="E714" t="s">
        <v>60</v>
      </c>
      <c r="F714" t="s">
        <v>19</v>
      </c>
      <c r="G714" t="s">
        <v>20</v>
      </c>
      <c r="H714">
        <v>13</v>
      </c>
      <c r="I714">
        <v>10452</v>
      </c>
      <c r="J714">
        <v>10476</v>
      </c>
      <c r="K714">
        <v>2071.85</v>
      </c>
      <c r="L714" s="3">
        <f t="shared" si="11"/>
        <v>0.19822522005357826</v>
      </c>
    </row>
    <row r="715" spans="1:12" x14ac:dyDescent="0.3">
      <c r="A715" s="5" t="s">
        <v>361</v>
      </c>
      <c r="B715" t="s">
        <v>31</v>
      </c>
      <c r="C715">
        <v>2025</v>
      </c>
      <c r="D715" t="s">
        <v>13</v>
      </c>
      <c r="E715" t="s">
        <v>60</v>
      </c>
      <c r="F715" t="s">
        <v>15</v>
      </c>
      <c r="G715" t="s">
        <v>16</v>
      </c>
      <c r="H715">
        <v>13</v>
      </c>
      <c r="I715">
        <v>13793</v>
      </c>
      <c r="J715">
        <v>6383</v>
      </c>
      <c r="K715">
        <v>3897.09</v>
      </c>
      <c r="L715" s="3">
        <f t="shared" si="11"/>
        <v>0.28254114405858044</v>
      </c>
    </row>
    <row r="716" spans="1:12" x14ac:dyDescent="0.3">
      <c r="A716" s="5" t="s">
        <v>155</v>
      </c>
      <c r="B716" t="s">
        <v>85</v>
      </c>
      <c r="C716">
        <v>2025</v>
      </c>
      <c r="D716" t="s">
        <v>18</v>
      </c>
      <c r="E716" t="s">
        <v>28</v>
      </c>
      <c r="F716" t="s">
        <v>42</v>
      </c>
      <c r="G716" t="s">
        <v>20</v>
      </c>
      <c r="H716">
        <v>20</v>
      </c>
      <c r="I716">
        <v>8320</v>
      </c>
      <c r="J716">
        <v>5406</v>
      </c>
      <c r="K716">
        <v>1714.43</v>
      </c>
      <c r="L716" s="3">
        <f t="shared" si="11"/>
        <v>0.20606129807692308</v>
      </c>
    </row>
    <row r="717" spans="1:12" x14ac:dyDescent="0.3">
      <c r="A717" s="5" t="s">
        <v>196</v>
      </c>
      <c r="B717" t="s">
        <v>45</v>
      </c>
      <c r="C717">
        <v>2025</v>
      </c>
      <c r="D717" t="s">
        <v>23</v>
      </c>
      <c r="E717" t="s">
        <v>28</v>
      </c>
      <c r="F717" t="s">
        <v>15</v>
      </c>
      <c r="G717" t="s">
        <v>16</v>
      </c>
      <c r="H717">
        <v>17</v>
      </c>
      <c r="I717">
        <v>25143</v>
      </c>
      <c r="J717">
        <v>13082</v>
      </c>
      <c r="K717">
        <v>3464.1</v>
      </c>
      <c r="L717" s="3">
        <f t="shared" si="11"/>
        <v>0.13777592172771747</v>
      </c>
    </row>
    <row r="718" spans="1:12" x14ac:dyDescent="0.3">
      <c r="A718" s="5" t="s">
        <v>297</v>
      </c>
      <c r="B718" t="s">
        <v>22</v>
      </c>
      <c r="C718">
        <v>2025</v>
      </c>
      <c r="D718" t="s">
        <v>32</v>
      </c>
      <c r="E718" t="s">
        <v>14</v>
      </c>
      <c r="F718" t="s">
        <v>19</v>
      </c>
      <c r="G718" t="s">
        <v>20</v>
      </c>
      <c r="H718">
        <v>15</v>
      </c>
      <c r="I718">
        <v>9840</v>
      </c>
      <c r="J718">
        <v>13650</v>
      </c>
      <c r="K718">
        <v>2016.08</v>
      </c>
      <c r="L718" s="3">
        <f t="shared" si="11"/>
        <v>0.20488617886178861</v>
      </c>
    </row>
    <row r="719" spans="1:12" x14ac:dyDescent="0.3">
      <c r="A719" s="5" t="s">
        <v>249</v>
      </c>
      <c r="B719" t="s">
        <v>39</v>
      </c>
      <c r="C719">
        <v>2025</v>
      </c>
      <c r="D719" t="s">
        <v>23</v>
      </c>
      <c r="E719" t="s">
        <v>26</v>
      </c>
      <c r="F719" t="s">
        <v>42</v>
      </c>
      <c r="G719" t="s">
        <v>20</v>
      </c>
      <c r="H719">
        <v>7</v>
      </c>
      <c r="I719">
        <v>5775</v>
      </c>
      <c r="J719">
        <v>8762</v>
      </c>
      <c r="K719">
        <v>1475.83</v>
      </c>
      <c r="L719" s="3">
        <f t="shared" si="11"/>
        <v>0.25555497835497837</v>
      </c>
    </row>
    <row r="720" spans="1:12" x14ac:dyDescent="0.3">
      <c r="A720" s="5" t="s">
        <v>33</v>
      </c>
      <c r="B720" t="s">
        <v>34</v>
      </c>
      <c r="C720">
        <v>2025</v>
      </c>
      <c r="D720" t="s">
        <v>18</v>
      </c>
      <c r="E720" t="s">
        <v>14</v>
      </c>
      <c r="F720" t="s">
        <v>62</v>
      </c>
      <c r="G720" t="s">
        <v>63</v>
      </c>
      <c r="H720">
        <v>14</v>
      </c>
      <c r="I720">
        <v>12474</v>
      </c>
      <c r="J720">
        <v>8587</v>
      </c>
      <c r="K720">
        <v>3699.37</v>
      </c>
      <c r="L720" s="3">
        <f t="shared" si="11"/>
        <v>0.29656645823312489</v>
      </c>
    </row>
    <row r="721" spans="1:12" x14ac:dyDescent="0.3">
      <c r="A721" s="5" t="s">
        <v>17</v>
      </c>
      <c r="B721" t="s">
        <v>12</v>
      </c>
      <c r="C721">
        <v>2025</v>
      </c>
      <c r="D721" t="s">
        <v>13</v>
      </c>
      <c r="E721" t="s">
        <v>49</v>
      </c>
      <c r="F721" t="s">
        <v>19</v>
      </c>
      <c r="G721" t="s">
        <v>20</v>
      </c>
      <c r="H721">
        <v>14</v>
      </c>
      <c r="I721">
        <v>5866</v>
      </c>
      <c r="J721">
        <v>16319</v>
      </c>
      <c r="K721">
        <v>775.08</v>
      </c>
      <c r="L721" s="3">
        <f t="shared" si="11"/>
        <v>0.1321309239686328</v>
      </c>
    </row>
    <row r="722" spans="1:12" x14ac:dyDescent="0.3">
      <c r="A722" s="5" t="s">
        <v>297</v>
      </c>
      <c r="B722" t="s">
        <v>22</v>
      </c>
      <c r="C722">
        <v>2025</v>
      </c>
      <c r="D722" t="s">
        <v>18</v>
      </c>
      <c r="E722" t="s">
        <v>60</v>
      </c>
      <c r="F722" t="s">
        <v>62</v>
      </c>
      <c r="G722" t="s">
        <v>63</v>
      </c>
      <c r="H722">
        <v>18</v>
      </c>
      <c r="I722">
        <v>3906</v>
      </c>
      <c r="J722">
        <v>6708</v>
      </c>
      <c r="K722">
        <v>501.66</v>
      </c>
      <c r="L722" s="3">
        <f t="shared" si="11"/>
        <v>0.12843317972350232</v>
      </c>
    </row>
    <row r="723" spans="1:12" x14ac:dyDescent="0.3">
      <c r="A723" s="5" t="s">
        <v>362</v>
      </c>
      <c r="B723" t="s">
        <v>25</v>
      </c>
      <c r="C723">
        <v>2025</v>
      </c>
      <c r="D723" t="s">
        <v>32</v>
      </c>
      <c r="E723" t="s">
        <v>28</v>
      </c>
      <c r="F723" t="s">
        <v>35</v>
      </c>
      <c r="G723" t="s">
        <v>20</v>
      </c>
      <c r="H723">
        <v>3</v>
      </c>
      <c r="I723">
        <v>1794</v>
      </c>
      <c r="J723">
        <v>19597</v>
      </c>
      <c r="K723">
        <v>496.07</v>
      </c>
      <c r="L723" s="3">
        <f t="shared" si="11"/>
        <v>0.27651616499442588</v>
      </c>
    </row>
    <row r="724" spans="1:12" x14ac:dyDescent="0.3">
      <c r="A724" s="5" t="s">
        <v>250</v>
      </c>
      <c r="B724" t="s">
        <v>57</v>
      </c>
      <c r="C724">
        <v>2025</v>
      </c>
      <c r="D724" t="s">
        <v>32</v>
      </c>
      <c r="E724" t="s">
        <v>26</v>
      </c>
      <c r="F724" t="s">
        <v>42</v>
      </c>
      <c r="G724" t="s">
        <v>20</v>
      </c>
      <c r="H724">
        <v>13</v>
      </c>
      <c r="I724">
        <v>18070</v>
      </c>
      <c r="J724">
        <v>11802</v>
      </c>
      <c r="K724">
        <v>2909.79</v>
      </c>
      <c r="L724" s="3">
        <f t="shared" si="11"/>
        <v>0.16102877697841728</v>
      </c>
    </row>
    <row r="725" spans="1:12" x14ac:dyDescent="0.3">
      <c r="A725" s="5" t="s">
        <v>207</v>
      </c>
      <c r="B725" t="s">
        <v>25</v>
      </c>
      <c r="C725">
        <v>2025</v>
      </c>
      <c r="D725" t="s">
        <v>18</v>
      </c>
      <c r="E725" t="s">
        <v>26</v>
      </c>
      <c r="F725" t="s">
        <v>15</v>
      </c>
      <c r="G725" t="s">
        <v>16</v>
      </c>
      <c r="H725">
        <v>4</v>
      </c>
      <c r="I725">
        <v>4996</v>
      </c>
      <c r="J725">
        <v>10206</v>
      </c>
      <c r="K725">
        <v>1451.04</v>
      </c>
      <c r="L725" s="3">
        <f t="shared" si="11"/>
        <v>0.29044035228182546</v>
      </c>
    </row>
    <row r="726" spans="1:12" x14ac:dyDescent="0.3">
      <c r="A726" s="5" t="s">
        <v>216</v>
      </c>
      <c r="B726" t="s">
        <v>85</v>
      </c>
      <c r="C726">
        <v>2025</v>
      </c>
      <c r="D726" t="s">
        <v>13</v>
      </c>
      <c r="E726" t="s">
        <v>14</v>
      </c>
      <c r="F726" t="s">
        <v>15</v>
      </c>
      <c r="G726" t="s">
        <v>16</v>
      </c>
      <c r="H726">
        <v>8</v>
      </c>
      <c r="I726">
        <v>4600</v>
      </c>
      <c r="J726">
        <v>13876</v>
      </c>
      <c r="K726">
        <v>567.49</v>
      </c>
      <c r="L726" s="3">
        <f t="shared" si="11"/>
        <v>0.12336739130434783</v>
      </c>
    </row>
    <row r="727" spans="1:12" x14ac:dyDescent="0.3">
      <c r="A727" s="5" t="s">
        <v>185</v>
      </c>
      <c r="B727" t="s">
        <v>25</v>
      </c>
      <c r="C727">
        <v>2025</v>
      </c>
      <c r="D727" t="s">
        <v>23</v>
      </c>
      <c r="E727" t="s">
        <v>26</v>
      </c>
      <c r="F727" t="s">
        <v>42</v>
      </c>
      <c r="G727" t="s">
        <v>20</v>
      </c>
      <c r="H727">
        <v>4</v>
      </c>
      <c r="I727">
        <v>2272</v>
      </c>
      <c r="J727">
        <v>18990</v>
      </c>
      <c r="K727">
        <v>530.59</v>
      </c>
      <c r="L727" s="3">
        <f t="shared" si="11"/>
        <v>0.2335343309859155</v>
      </c>
    </row>
    <row r="728" spans="1:12" x14ac:dyDescent="0.3">
      <c r="A728" s="5" t="s">
        <v>284</v>
      </c>
      <c r="B728" t="s">
        <v>39</v>
      </c>
      <c r="C728">
        <v>2025</v>
      </c>
      <c r="D728" t="s">
        <v>32</v>
      </c>
      <c r="E728" t="s">
        <v>28</v>
      </c>
      <c r="F728" t="s">
        <v>62</v>
      </c>
      <c r="G728" t="s">
        <v>63</v>
      </c>
      <c r="H728">
        <v>3</v>
      </c>
      <c r="I728">
        <v>3411</v>
      </c>
      <c r="J728">
        <v>5940</v>
      </c>
      <c r="K728">
        <v>532.55999999999995</v>
      </c>
      <c r="L728" s="3">
        <f t="shared" si="11"/>
        <v>0.15613016710642039</v>
      </c>
    </row>
    <row r="729" spans="1:12" x14ac:dyDescent="0.3">
      <c r="A729" s="5" t="s">
        <v>317</v>
      </c>
      <c r="B729" t="s">
        <v>48</v>
      </c>
      <c r="C729">
        <v>2025</v>
      </c>
      <c r="D729" t="s">
        <v>13</v>
      </c>
      <c r="E729" t="s">
        <v>28</v>
      </c>
      <c r="F729" t="s">
        <v>29</v>
      </c>
      <c r="G729" t="s">
        <v>20</v>
      </c>
      <c r="H729">
        <v>3</v>
      </c>
      <c r="I729">
        <v>2169</v>
      </c>
      <c r="J729">
        <v>15050</v>
      </c>
      <c r="K729">
        <v>244.07</v>
      </c>
      <c r="L729" s="3">
        <f t="shared" si="11"/>
        <v>0.11252650991240203</v>
      </c>
    </row>
    <row r="730" spans="1:12" x14ac:dyDescent="0.3">
      <c r="A730" s="5" t="s">
        <v>237</v>
      </c>
      <c r="B730" t="s">
        <v>39</v>
      </c>
      <c r="C730">
        <v>2025</v>
      </c>
      <c r="D730" t="s">
        <v>32</v>
      </c>
      <c r="E730" t="s">
        <v>28</v>
      </c>
      <c r="F730" t="s">
        <v>29</v>
      </c>
      <c r="G730" t="s">
        <v>20</v>
      </c>
      <c r="H730">
        <v>13</v>
      </c>
      <c r="I730">
        <v>17706</v>
      </c>
      <c r="J730">
        <v>15338</v>
      </c>
      <c r="K730">
        <v>4259.1499999999996</v>
      </c>
      <c r="L730" s="3">
        <f t="shared" si="11"/>
        <v>0.24054840167174968</v>
      </c>
    </row>
    <row r="731" spans="1:12" x14ac:dyDescent="0.3">
      <c r="A731" s="5" t="s">
        <v>236</v>
      </c>
      <c r="B731" t="s">
        <v>25</v>
      </c>
      <c r="C731">
        <v>2025</v>
      </c>
      <c r="D731" t="s">
        <v>32</v>
      </c>
      <c r="E731" t="s">
        <v>14</v>
      </c>
      <c r="F731" t="s">
        <v>35</v>
      </c>
      <c r="G731" t="s">
        <v>20</v>
      </c>
      <c r="H731">
        <v>16</v>
      </c>
      <c r="I731">
        <v>4128</v>
      </c>
      <c r="J731">
        <v>15393</v>
      </c>
      <c r="K731">
        <v>1227.51</v>
      </c>
      <c r="L731" s="3">
        <f t="shared" si="11"/>
        <v>0.29736191860465117</v>
      </c>
    </row>
    <row r="732" spans="1:12" x14ac:dyDescent="0.3">
      <c r="A732" s="5" t="s">
        <v>213</v>
      </c>
      <c r="B732" t="s">
        <v>45</v>
      </c>
      <c r="C732">
        <v>2025</v>
      </c>
      <c r="D732" t="s">
        <v>13</v>
      </c>
      <c r="E732" t="s">
        <v>14</v>
      </c>
      <c r="F732" t="s">
        <v>29</v>
      </c>
      <c r="G732" t="s">
        <v>20</v>
      </c>
      <c r="H732">
        <v>5</v>
      </c>
      <c r="I732">
        <v>6280</v>
      </c>
      <c r="J732">
        <v>7695</v>
      </c>
      <c r="K732">
        <v>1673.25</v>
      </c>
      <c r="L732" s="3">
        <f t="shared" si="11"/>
        <v>0.26644108280254775</v>
      </c>
    </row>
    <row r="733" spans="1:12" x14ac:dyDescent="0.3">
      <c r="A733" s="5" t="s">
        <v>95</v>
      </c>
      <c r="B733" t="s">
        <v>34</v>
      </c>
      <c r="C733">
        <v>2025</v>
      </c>
      <c r="D733" t="s">
        <v>23</v>
      </c>
      <c r="E733" t="s">
        <v>14</v>
      </c>
      <c r="F733" t="s">
        <v>42</v>
      </c>
      <c r="G733" t="s">
        <v>20</v>
      </c>
      <c r="H733">
        <v>14</v>
      </c>
      <c r="I733">
        <v>9030</v>
      </c>
      <c r="J733">
        <v>8532</v>
      </c>
      <c r="K733">
        <v>1461.03</v>
      </c>
      <c r="L733" s="3">
        <f t="shared" si="11"/>
        <v>0.16179734219269104</v>
      </c>
    </row>
    <row r="734" spans="1:12" x14ac:dyDescent="0.3">
      <c r="A734" s="5" t="s">
        <v>188</v>
      </c>
      <c r="B734" t="s">
        <v>12</v>
      </c>
      <c r="C734">
        <v>2025</v>
      </c>
      <c r="D734" t="s">
        <v>32</v>
      </c>
      <c r="E734" t="s">
        <v>26</v>
      </c>
      <c r="F734" t="s">
        <v>15</v>
      </c>
      <c r="G734" t="s">
        <v>16</v>
      </c>
      <c r="H734">
        <v>7</v>
      </c>
      <c r="I734">
        <v>3297</v>
      </c>
      <c r="J734">
        <v>11307</v>
      </c>
      <c r="K734">
        <v>723.97</v>
      </c>
      <c r="L734" s="3">
        <f t="shared" si="11"/>
        <v>0.21958447073096757</v>
      </c>
    </row>
    <row r="735" spans="1:12" x14ac:dyDescent="0.3">
      <c r="A735" s="5" t="s">
        <v>231</v>
      </c>
      <c r="B735" t="s">
        <v>41</v>
      </c>
      <c r="C735">
        <v>2025</v>
      </c>
      <c r="D735" t="s">
        <v>13</v>
      </c>
      <c r="E735" t="s">
        <v>60</v>
      </c>
      <c r="F735" t="s">
        <v>35</v>
      </c>
      <c r="G735" t="s">
        <v>20</v>
      </c>
      <c r="H735">
        <v>4</v>
      </c>
      <c r="I735">
        <v>1880</v>
      </c>
      <c r="J735">
        <v>10640</v>
      </c>
      <c r="K735">
        <v>301.2</v>
      </c>
      <c r="L735" s="3">
        <f t="shared" si="11"/>
        <v>0.1602127659574468</v>
      </c>
    </row>
    <row r="736" spans="1:12" x14ac:dyDescent="0.3">
      <c r="A736" s="5" t="s">
        <v>106</v>
      </c>
      <c r="B736" t="s">
        <v>45</v>
      </c>
      <c r="C736">
        <v>2025</v>
      </c>
      <c r="D736" t="s">
        <v>23</v>
      </c>
      <c r="E736" t="s">
        <v>26</v>
      </c>
      <c r="F736" t="s">
        <v>29</v>
      </c>
      <c r="G736" t="s">
        <v>20</v>
      </c>
      <c r="H736">
        <v>14</v>
      </c>
      <c r="I736">
        <v>8456</v>
      </c>
      <c r="J736">
        <v>5412</v>
      </c>
      <c r="K736">
        <v>2063.4499999999998</v>
      </c>
      <c r="L736" s="3">
        <f t="shared" si="11"/>
        <v>0.24402199621570481</v>
      </c>
    </row>
    <row r="737" spans="1:12" x14ac:dyDescent="0.3">
      <c r="A737" s="5" t="s">
        <v>244</v>
      </c>
      <c r="B737" t="s">
        <v>25</v>
      </c>
      <c r="C737">
        <v>2025</v>
      </c>
      <c r="D737" t="s">
        <v>13</v>
      </c>
      <c r="E737" t="s">
        <v>14</v>
      </c>
      <c r="F737" t="s">
        <v>19</v>
      </c>
      <c r="G737" t="s">
        <v>20</v>
      </c>
      <c r="H737">
        <v>15</v>
      </c>
      <c r="I737">
        <v>10515</v>
      </c>
      <c r="J737">
        <v>16469</v>
      </c>
      <c r="K737">
        <v>2479.54</v>
      </c>
      <c r="L737" s="3">
        <f t="shared" si="11"/>
        <v>0.23580979553019496</v>
      </c>
    </row>
    <row r="738" spans="1:12" x14ac:dyDescent="0.3">
      <c r="A738" s="5" t="s">
        <v>162</v>
      </c>
      <c r="B738" t="s">
        <v>25</v>
      </c>
      <c r="C738">
        <v>2025</v>
      </c>
      <c r="D738" t="s">
        <v>23</v>
      </c>
      <c r="E738" t="s">
        <v>14</v>
      </c>
      <c r="F738" t="s">
        <v>62</v>
      </c>
      <c r="G738" t="s">
        <v>63</v>
      </c>
      <c r="H738">
        <v>15</v>
      </c>
      <c r="I738">
        <v>18180</v>
      </c>
      <c r="J738">
        <v>15499</v>
      </c>
      <c r="K738">
        <v>3880.36</v>
      </c>
      <c r="L738" s="3">
        <f t="shared" si="11"/>
        <v>0.21344114411441145</v>
      </c>
    </row>
    <row r="739" spans="1:12" x14ac:dyDescent="0.3">
      <c r="A739" s="5" t="s">
        <v>363</v>
      </c>
      <c r="B739" t="s">
        <v>45</v>
      </c>
      <c r="C739">
        <v>2025</v>
      </c>
      <c r="D739" t="s">
        <v>13</v>
      </c>
      <c r="E739" t="s">
        <v>14</v>
      </c>
      <c r="F739" t="s">
        <v>19</v>
      </c>
      <c r="G739" t="s">
        <v>20</v>
      </c>
      <c r="H739">
        <v>18</v>
      </c>
      <c r="I739">
        <v>2646</v>
      </c>
      <c r="J739">
        <v>12762</v>
      </c>
      <c r="K739">
        <v>595.39</v>
      </c>
      <c r="L739" s="3">
        <f t="shared" si="11"/>
        <v>0.22501511715797429</v>
      </c>
    </row>
    <row r="740" spans="1:12" x14ac:dyDescent="0.3">
      <c r="A740" s="5" t="s">
        <v>357</v>
      </c>
      <c r="B740" t="s">
        <v>25</v>
      </c>
      <c r="C740">
        <v>2025</v>
      </c>
      <c r="D740" t="s">
        <v>18</v>
      </c>
      <c r="E740" t="s">
        <v>28</v>
      </c>
      <c r="F740" t="s">
        <v>29</v>
      </c>
      <c r="G740" t="s">
        <v>20</v>
      </c>
      <c r="H740">
        <v>9</v>
      </c>
      <c r="I740">
        <v>3474</v>
      </c>
      <c r="J740">
        <v>16405</v>
      </c>
      <c r="K740">
        <v>933.56</v>
      </c>
      <c r="L740" s="3">
        <f t="shared" si="11"/>
        <v>0.26872769142199193</v>
      </c>
    </row>
    <row r="741" spans="1:12" x14ac:dyDescent="0.3">
      <c r="A741" s="5" t="s">
        <v>352</v>
      </c>
      <c r="B741" t="s">
        <v>22</v>
      </c>
      <c r="C741">
        <v>2025</v>
      </c>
      <c r="D741" t="s">
        <v>32</v>
      </c>
      <c r="E741" t="s">
        <v>14</v>
      </c>
      <c r="F741" t="s">
        <v>42</v>
      </c>
      <c r="G741" t="s">
        <v>20</v>
      </c>
      <c r="H741">
        <v>11</v>
      </c>
      <c r="I741">
        <v>2002</v>
      </c>
      <c r="J741">
        <v>7011</v>
      </c>
      <c r="K741">
        <v>431.1</v>
      </c>
      <c r="L741" s="3">
        <f t="shared" si="11"/>
        <v>0.21533466533466536</v>
      </c>
    </row>
    <row r="742" spans="1:12" x14ac:dyDescent="0.3">
      <c r="A742" s="5" t="s">
        <v>61</v>
      </c>
      <c r="B742" t="s">
        <v>31</v>
      </c>
      <c r="C742">
        <v>2025</v>
      </c>
      <c r="D742" t="s">
        <v>23</v>
      </c>
      <c r="E742" t="s">
        <v>28</v>
      </c>
      <c r="F742" t="s">
        <v>42</v>
      </c>
      <c r="G742" t="s">
        <v>20</v>
      </c>
      <c r="H742">
        <v>4</v>
      </c>
      <c r="I742">
        <v>5712</v>
      </c>
      <c r="J742">
        <v>9552</v>
      </c>
      <c r="K742">
        <v>997.75</v>
      </c>
      <c r="L742" s="3">
        <f t="shared" si="11"/>
        <v>0.17467612044817926</v>
      </c>
    </row>
    <row r="743" spans="1:12" x14ac:dyDescent="0.3">
      <c r="A743" s="5" t="s">
        <v>364</v>
      </c>
      <c r="B743" t="s">
        <v>39</v>
      </c>
      <c r="C743">
        <v>2025</v>
      </c>
      <c r="D743" t="s">
        <v>23</v>
      </c>
      <c r="E743" t="s">
        <v>28</v>
      </c>
      <c r="F743" t="s">
        <v>15</v>
      </c>
      <c r="G743" t="s">
        <v>16</v>
      </c>
      <c r="H743">
        <v>8</v>
      </c>
      <c r="I743">
        <v>11944</v>
      </c>
      <c r="J743">
        <v>6291</v>
      </c>
      <c r="K743">
        <v>1233.55</v>
      </c>
      <c r="L743" s="3">
        <f t="shared" si="11"/>
        <v>0.10327779638312123</v>
      </c>
    </row>
    <row r="744" spans="1:12" x14ac:dyDescent="0.3">
      <c r="A744" s="5" t="s">
        <v>365</v>
      </c>
      <c r="B744" t="s">
        <v>25</v>
      </c>
      <c r="C744">
        <v>2025</v>
      </c>
      <c r="D744" t="s">
        <v>23</v>
      </c>
      <c r="E744" t="s">
        <v>14</v>
      </c>
      <c r="F744" t="s">
        <v>42</v>
      </c>
      <c r="G744" t="s">
        <v>20</v>
      </c>
      <c r="H744">
        <v>13</v>
      </c>
      <c r="I744">
        <v>6032</v>
      </c>
      <c r="J744">
        <v>9406</v>
      </c>
      <c r="K744">
        <v>634.91</v>
      </c>
      <c r="L744" s="3">
        <f t="shared" si="11"/>
        <v>0.10525696286472148</v>
      </c>
    </row>
    <row r="745" spans="1:12" x14ac:dyDescent="0.3">
      <c r="A745" s="5" t="s">
        <v>284</v>
      </c>
      <c r="B745" t="s">
        <v>39</v>
      </c>
      <c r="C745">
        <v>2025</v>
      </c>
      <c r="D745" t="s">
        <v>18</v>
      </c>
      <c r="E745" t="s">
        <v>26</v>
      </c>
      <c r="F745" t="s">
        <v>35</v>
      </c>
      <c r="G745" t="s">
        <v>20</v>
      </c>
      <c r="H745">
        <v>11</v>
      </c>
      <c r="I745">
        <v>13937</v>
      </c>
      <c r="J745">
        <v>7612</v>
      </c>
      <c r="K745">
        <v>2265.89</v>
      </c>
      <c r="L745" s="3">
        <f t="shared" si="11"/>
        <v>0.16258089976322018</v>
      </c>
    </row>
    <row r="746" spans="1:12" x14ac:dyDescent="0.3">
      <c r="A746" s="5" t="s">
        <v>190</v>
      </c>
      <c r="B746" t="s">
        <v>25</v>
      </c>
      <c r="C746">
        <v>2025</v>
      </c>
      <c r="D746" t="s">
        <v>18</v>
      </c>
      <c r="E746" t="s">
        <v>14</v>
      </c>
      <c r="F746" t="s">
        <v>42</v>
      </c>
      <c r="G746" t="s">
        <v>20</v>
      </c>
      <c r="H746">
        <v>9</v>
      </c>
      <c r="I746">
        <v>2070</v>
      </c>
      <c r="J746">
        <v>16175</v>
      </c>
      <c r="K746">
        <v>323.27999999999997</v>
      </c>
      <c r="L746" s="3">
        <f t="shared" si="11"/>
        <v>0.15617391304347825</v>
      </c>
    </row>
    <row r="747" spans="1:12" x14ac:dyDescent="0.3">
      <c r="A747" s="5" t="s">
        <v>366</v>
      </c>
      <c r="B747" t="s">
        <v>22</v>
      </c>
      <c r="C747">
        <v>2025</v>
      </c>
      <c r="D747" t="s">
        <v>18</v>
      </c>
      <c r="E747" t="s">
        <v>60</v>
      </c>
      <c r="F747" t="s">
        <v>42</v>
      </c>
      <c r="G747" t="s">
        <v>20</v>
      </c>
      <c r="H747">
        <v>3</v>
      </c>
      <c r="I747">
        <v>3897</v>
      </c>
      <c r="J747">
        <v>7129</v>
      </c>
      <c r="K747">
        <v>503.51</v>
      </c>
      <c r="L747" s="3">
        <f t="shared" si="11"/>
        <v>0.12920451629458557</v>
      </c>
    </row>
    <row r="748" spans="1:12" x14ac:dyDescent="0.3">
      <c r="A748" s="5" t="s">
        <v>64</v>
      </c>
      <c r="B748" t="s">
        <v>48</v>
      </c>
      <c r="C748">
        <v>2025</v>
      </c>
      <c r="D748" t="s">
        <v>32</v>
      </c>
      <c r="E748" t="s">
        <v>60</v>
      </c>
      <c r="F748" t="s">
        <v>15</v>
      </c>
      <c r="G748" t="s">
        <v>16</v>
      </c>
      <c r="H748">
        <v>1</v>
      </c>
      <c r="I748">
        <v>425</v>
      </c>
      <c r="J748">
        <v>11561</v>
      </c>
      <c r="K748">
        <v>70.260000000000005</v>
      </c>
      <c r="L748" s="3">
        <f t="shared" si="11"/>
        <v>0.16531764705882354</v>
      </c>
    </row>
    <row r="749" spans="1:12" x14ac:dyDescent="0.3">
      <c r="A749" s="5" t="s">
        <v>276</v>
      </c>
      <c r="B749" t="s">
        <v>45</v>
      </c>
      <c r="C749">
        <v>2025</v>
      </c>
      <c r="D749" t="s">
        <v>32</v>
      </c>
      <c r="E749" t="s">
        <v>26</v>
      </c>
      <c r="F749" t="s">
        <v>19</v>
      </c>
      <c r="G749" t="s">
        <v>20</v>
      </c>
      <c r="H749">
        <v>1</v>
      </c>
      <c r="I749">
        <v>1200</v>
      </c>
      <c r="J749">
        <v>15423</v>
      </c>
      <c r="K749">
        <v>124.09</v>
      </c>
      <c r="L749" s="3">
        <f t="shared" si="11"/>
        <v>0.10340833333333334</v>
      </c>
    </row>
    <row r="750" spans="1:12" x14ac:dyDescent="0.3">
      <c r="A750" s="5" t="s">
        <v>59</v>
      </c>
      <c r="B750" t="s">
        <v>57</v>
      </c>
      <c r="C750">
        <v>2025</v>
      </c>
      <c r="D750" t="s">
        <v>23</v>
      </c>
      <c r="E750" t="s">
        <v>49</v>
      </c>
      <c r="F750" t="s">
        <v>15</v>
      </c>
      <c r="G750" t="s">
        <v>16</v>
      </c>
      <c r="H750">
        <v>12</v>
      </c>
      <c r="I750">
        <v>12264</v>
      </c>
      <c r="J750">
        <v>7279</v>
      </c>
      <c r="K750">
        <v>2816.09</v>
      </c>
      <c r="L750" s="3">
        <f t="shared" si="11"/>
        <v>0.22962247227658189</v>
      </c>
    </row>
    <row r="751" spans="1:12" x14ac:dyDescent="0.3">
      <c r="A751" s="5" t="s">
        <v>56</v>
      </c>
      <c r="B751" t="s">
        <v>57</v>
      </c>
      <c r="C751">
        <v>2025</v>
      </c>
      <c r="D751" t="s">
        <v>23</v>
      </c>
      <c r="E751" t="s">
        <v>28</v>
      </c>
      <c r="F751" t="s">
        <v>15</v>
      </c>
      <c r="G751" t="s">
        <v>16</v>
      </c>
      <c r="H751">
        <v>17</v>
      </c>
      <c r="I751">
        <v>9996</v>
      </c>
      <c r="J751">
        <v>7252</v>
      </c>
      <c r="K751">
        <v>1107.19</v>
      </c>
      <c r="L751" s="3">
        <f t="shared" si="11"/>
        <v>0.11076330532212886</v>
      </c>
    </row>
    <row r="752" spans="1:12" x14ac:dyDescent="0.3">
      <c r="A752" s="5" t="s">
        <v>367</v>
      </c>
      <c r="B752" t="s">
        <v>57</v>
      </c>
      <c r="C752">
        <v>2025</v>
      </c>
      <c r="D752" t="s">
        <v>32</v>
      </c>
      <c r="E752" t="s">
        <v>28</v>
      </c>
      <c r="F752" t="s">
        <v>29</v>
      </c>
      <c r="G752" t="s">
        <v>20</v>
      </c>
      <c r="H752">
        <v>2</v>
      </c>
      <c r="I752">
        <v>1440</v>
      </c>
      <c r="J752">
        <v>11207</v>
      </c>
      <c r="K752">
        <v>386.28</v>
      </c>
      <c r="L752" s="3">
        <f t="shared" si="11"/>
        <v>0.26824999999999999</v>
      </c>
    </row>
    <row r="753" spans="1:12" x14ac:dyDescent="0.3">
      <c r="A753" s="5" t="s">
        <v>179</v>
      </c>
      <c r="B753" t="s">
        <v>37</v>
      </c>
      <c r="C753">
        <v>2025</v>
      </c>
      <c r="D753" t="s">
        <v>32</v>
      </c>
      <c r="E753" t="s">
        <v>14</v>
      </c>
      <c r="F753" t="s">
        <v>35</v>
      </c>
      <c r="G753" t="s">
        <v>20</v>
      </c>
      <c r="H753">
        <v>3</v>
      </c>
      <c r="I753">
        <v>3570</v>
      </c>
      <c r="J753">
        <v>7277</v>
      </c>
      <c r="K753">
        <v>402.4</v>
      </c>
      <c r="L753" s="3">
        <f t="shared" si="11"/>
        <v>0.11271708683473389</v>
      </c>
    </row>
    <row r="754" spans="1:12" x14ac:dyDescent="0.3">
      <c r="A754" s="5" t="s">
        <v>248</v>
      </c>
      <c r="B754" t="s">
        <v>41</v>
      </c>
      <c r="C754">
        <v>2025</v>
      </c>
      <c r="D754" t="s">
        <v>32</v>
      </c>
      <c r="E754" t="s">
        <v>26</v>
      </c>
      <c r="F754" t="s">
        <v>35</v>
      </c>
      <c r="G754" t="s">
        <v>20</v>
      </c>
      <c r="H754">
        <v>16</v>
      </c>
      <c r="I754">
        <v>14576</v>
      </c>
      <c r="J754">
        <v>18563</v>
      </c>
      <c r="K754">
        <v>1669.74</v>
      </c>
      <c r="L754" s="3">
        <f t="shared" si="11"/>
        <v>0.11455406147091109</v>
      </c>
    </row>
    <row r="755" spans="1:12" x14ac:dyDescent="0.3">
      <c r="A755" s="5" t="s">
        <v>110</v>
      </c>
      <c r="B755" t="s">
        <v>37</v>
      </c>
      <c r="C755">
        <v>2025</v>
      </c>
      <c r="D755" t="s">
        <v>18</v>
      </c>
      <c r="E755" t="s">
        <v>49</v>
      </c>
      <c r="F755" t="s">
        <v>62</v>
      </c>
      <c r="G755" t="s">
        <v>63</v>
      </c>
      <c r="H755">
        <v>19</v>
      </c>
      <c r="I755">
        <v>17917</v>
      </c>
      <c r="J755">
        <v>9943</v>
      </c>
      <c r="K755">
        <v>3523.63</v>
      </c>
      <c r="L755" s="3">
        <f t="shared" si="11"/>
        <v>0.19666406206396161</v>
      </c>
    </row>
    <row r="756" spans="1:12" x14ac:dyDescent="0.3">
      <c r="A756" s="5" t="s">
        <v>242</v>
      </c>
      <c r="B756" t="s">
        <v>22</v>
      </c>
      <c r="C756">
        <v>2025</v>
      </c>
      <c r="D756" t="s">
        <v>13</v>
      </c>
      <c r="E756" t="s">
        <v>49</v>
      </c>
      <c r="F756" t="s">
        <v>62</v>
      </c>
      <c r="G756" t="s">
        <v>63</v>
      </c>
      <c r="H756">
        <v>16</v>
      </c>
      <c r="I756">
        <v>22800</v>
      </c>
      <c r="J756">
        <v>17013</v>
      </c>
      <c r="K756">
        <v>2470.7800000000002</v>
      </c>
      <c r="L756" s="3">
        <f t="shared" si="11"/>
        <v>0.10836754385964913</v>
      </c>
    </row>
    <row r="757" spans="1:12" x14ac:dyDescent="0.3">
      <c r="A757" s="5" t="s">
        <v>368</v>
      </c>
      <c r="B757" t="s">
        <v>45</v>
      </c>
      <c r="C757">
        <v>2025</v>
      </c>
      <c r="D757" t="s">
        <v>23</v>
      </c>
      <c r="E757" t="s">
        <v>14</v>
      </c>
      <c r="F757" t="s">
        <v>29</v>
      </c>
      <c r="G757" t="s">
        <v>20</v>
      </c>
      <c r="H757">
        <v>18</v>
      </c>
      <c r="I757">
        <v>17748</v>
      </c>
      <c r="J757">
        <v>15647</v>
      </c>
      <c r="K757">
        <v>2814.14</v>
      </c>
      <c r="L757" s="3">
        <f t="shared" si="11"/>
        <v>0.15856096461573135</v>
      </c>
    </row>
    <row r="758" spans="1:12" x14ac:dyDescent="0.3">
      <c r="A758" s="5" t="s">
        <v>126</v>
      </c>
      <c r="B758" t="s">
        <v>34</v>
      </c>
      <c r="C758">
        <v>2025</v>
      </c>
      <c r="D758" t="s">
        <v>32</v>
      </c>
      <c r="E758" t="s">
        <v>60</v>
      </c>
      <c r="F758" t="s">
        <v>19</v>
      </c>
      <c r="G758" t="s">
        <v>20</v>
      </c>
      <c r="H758">
        <v>16</v>
      </c>
      <c r="I758">
        <v>13712</v>
      </c>
      <c r="J758">
        <v>10622</v>
      </c>
      <c r="K758">
        <v>1918</v>
      </c>
      <c r="L758" s="3">
        <f t="shared" si="11"/>
        <v>0.13987747957992999</v>
      </c>
    </row>
    <row r="759" spans="1:12" x14ac:dyDescent="0.3">
      <c r="A759" s="5" t="s">
        <v>220</v>
      </c>
      <c r="B759" t="s">
        <v>37</v>
      </c>
      <c r="C759">
        <v>2025</v>
      </c>
      <c r="D759" t="s">
        <v>13</v>
      </c>
      <c r="E759" t="s">
        <v>26</v>
      </c>
      <c r="F759" t="s">
        <v>62</v>
      </c>
      <c r="G759" t="s">
        <v>63</v>
      </c>
      <c r="H759">
        <v>10</v>
      </c>
      <c r="I759">
        <v>13540</v>
      </c>
      <c r="J759">
        <v>8121</v>
      </c>
      <c r="K759">
        <v>1433.47</v>
      </c>
      <c r="L759" s="3">
        <f t="shared" si="11"/>
        <v>0.10586927621861153</v>
      </c>
    </row>
    <row r="760" spans="1:12" x14ac:dyDescent="0.3">
      <c r="A760" s="5" t="s">
        <v>367</v>
      </c>
      <c r="B760" t="s">
        <v>57</v>
      </c>
      <c r="C760">
        <v>2025</v>
      </c>
      <c r="D760" t="s">
        <v>32</v>
      </c>
      <c r="E760" t="s">
        <v>60</v>
      </c>
      <c r="F760" t="s">
        <v>15</v>
      </c>
      <c r="G760" t="s">
        <v>16</v>
      </c>
      <c r="H760">
        <v>4</v>
      </c>
      <c r="I760">
        <v>2124</v>
      </c>
      <c r="J760">
        <v>10614</v>
      </c>
      <c r="K760">
        <v>551.98</v>
      </c>
      <c r="L760" s="3">
        <f t="shared" si="11"/>
        <v>0.25987758945386064</v>
      </c>
    </row>
    <row r="761" spans="1:12" x14ac:dyDescent="0.3">
      <c r="A761" s="5" t="s">
        <v>135</v>
      </c>
      <c r="B761" t="s">
        <v>25</v>
      </c>
      <c r="C761">
        <v>2025</v>
      </c>
      <c r="D761" t="s">
        <v>13</v>
      </c>
      <c r="E761" t="s">
        <v>49</v>
      </c>
      <c r="F761" t="s">
        <v>29</v>
      </c>
      <c r="G761" t="s">
        <v>20</v>
      </c>
      <c r="H761">
        <v>11</v>
      </c>
      <c r="I761">
        <v>1595</v>
      </c>
      <c r="J761">
        <v>17256</v>
      </c>
      <c r="K761">
        <v>251.18</v>
      </c>
      <c r="L761" s="3">
        <f t="shared" si="11"/>
        <v>0.15747962382445141</v>
      </c>
    </row>
    <row r="762" spans="1:12" x14ac:dyDescent="0.3">
      <c r="A762" s="5" t="s">
        <v>302</v>
      </c>
      <c r="B762" t="s">
        <v>25</v>
      </c>
      <c r="C762">
        <v>2025</v>
      </c>
      <c r="D762" t="s">
        <v>23</v>
      </c>
      <c r="E762" t="s">
        <v>14</v>
      </c>
      <c r="F762" t="s">
        <v>42</v>
      </c>
      <c r="G762" t="s">
        <v>20</v>
      </c>
      <c r="H762">
        <v>9</v>
      </c>
      <c r="I762">
        <v>2538</v>
      </c>
      <c r="J762">
        <v>9331</v>
      </c>
      <c r="K762">
        <v>569.15</v>
      </c>
      <c r="L762" s="3">
        <f t="shared" si="11"/>
        <v>0.22425137903861309</v>
      </c>
    </row>
    <row r="763" spans="1:12" x14ac:dyDescent="0.3">
      <c r="A763" s="5" t="s">
        <v>334</v>
      </c>
      <c r="B763" t="s">
        <v>12</v>
      </c>
      <c r="C763">
        <v>2025</v>
      </c>
      <c r="D763" t="s">
        <v>23</v>
      </c>
      <c r="E763" t="s">
        <v>26</v>
      </c>
      <c r="F763" t="s">
        <v>62</v>
      </c>
      <c r="G763" t="s">
        <v>63</v>
      </c>
      <c r="H763">
        <v>13</v>
      </c>
      <c r="I763">
        <v>16913</v>
      </c>
      <c r="J763">
        <v>19191</v>
      </c>
      <c r="K763">
        <v>3890.06</v>
      </c>
      <c r="L763" s="3">
        <f t="shared" si="11"/>
        <v>0.23000413882812037</v>
      </c>
    </row>
    <row r="764" spans="1:12" x14ac:dyDescent="0.3">
      <c r="A764" s="5" t="s">
        <v>24</v>
      </c>
      <c r="B764" t="s">
        <v>25</v>
      </c>
      <c r="C764">
        <v>2025</v>
      </c>
      <c r="D764" t="s">
        <v>32</v>
      </c>
      <c r="E764" t="s">
        <v>14</v>
      </c>
      <c r="F764" t="s">
        <v>29</v>
      </c>
      <c r="G764" t="s">
        <v>20</v>
      </c>
      <c r="H764">
        <v>16</v>
      </c>
      <c r="I764">
        <v>10272</v>
      </c>
      <c r="J764">
        <v>8087</v>
      </c>
      <c r="K764">
        <v>2564.2399999999998</v>
      </c>
      <c r="L764" s="3">
        <f t="shared" si="11"/>
        <v>0.24963395638629282</v>
      </c>
    </row>
    <row r="765" spans="1:12" x14ac:dyDescent="0.3">
      <c r="A765" s="5" t="s">
        <v>79</v>
      </c>
      <c r="B765" t="s">
        <v>39</v>
      </c>
      <c r="C765">
        <v>2025</v>
      </c>
      <c r="D765" t="s">
        <v>13</v>
      </c>
      <c r="E765" t="s">
        <v>28</v>
      </c>
      <c r="F765" t="s">
        <v>29</v>
      </c>
      <c r="G765" t="s">
        <v>20</v>
      </c>
      <c r="H765">
        <v>1</v>
      </c>
      <c r="I765">
        <v>1003</v>
      </c>
      <c r="J765">
        <v>10078</v>
      </c>
      <c r="K765">
        <v>119.42</v>
      </c>
      <c r="L765" s="3">
        <f t="shared" si="11"/>
        <v>0.11906281156530409</v>
      </c>
    </row>
    <row r="766" spans="1:12" x14ac:dyDescent="0.3">
      <c r="A766" s="5" t="s">
        <v>300</v>
      </c>
      <c r="B766" t="s">
        <v>34</v>
      </c>
      <c r="C766">
        <v>2025</v>
      </c>
      <c r="D766" t="s">
        <v>13</v>
      </c>
      <c r="E766" t="s">
        <v>26</v>
      </c>
      <c r="F766" t="s">
        <v>42</v>
      </c>
      <c r="G766" t="s">
        <v>20</v>
      </c>
      <c r="H766">
        <v>11</v>
      </c>
      <c r="I766">
        <v>5236</v>
      </c>
      <c r="J766">
        <v>5766</v>
      </c>
      <c r="K766">
        <v>1439.91</v>
      </c>
      <c r="L766" s="3">
        <f t="shared" si="11"/>
        <v>0.27500190985485107</v>
      </c>
    </row>
    <row r="767" spans="1:12" x14ac:dyDescent="0.3">
      <c r="A767" s="5" t="s">
        <v>312</v>
      </c>
      <c r="B767" t="s">
        <v>85</v>
      </c>
      <c r="C767">
        <v>2025</v>
      </c>
      <c r="D767" t="s">
        <v>18</v>
      </c>
      <c r="E767" t="s">
        <v>26</v>
      </c>
      <c r="F767" t="s">
        <v>15</v>
      </c>
      <c r="G767" t="s">
        <v>16</v>
      </c>
      <c r="H767">
        <v>4</v>
      </c>
      <c r="I767">
        <v>5640</v>
      </c>
      <c r="J767">
        <v>19804</v>
      </c>
      <c r="K767">
        <v>760.79</v>
      </c>
      <c r="L767" s="3">
        <f t="shared" si="11"/>
        <v>0.1348918439716312</v>
      </c>
    </row>
    <row r="768" spans="1:12" x14ac:dyDescent="0.3">
      <c r="A768" s="5" t="s">
        <v>299</v>
      </c>
      <c r="B768" t="s">
        <v>39</v>
      </c>
      <c r="C768">
        <v>2025</v>
      </c>
      <c r="D768" t="s">
        <v>32</v>
      </c>
      <c r="E768" t="s">
        <v>60</v>
      </c>
      <c r="F768" t="s">
        <v>29</v>
      </c>
      <c r="G768" t="s">
        <v>20</v>
      </c>
      <c r="H768">
        <v>13</v>
      </c>
      <c r="I768">
        <v>5720</v>
      </c>
      <c r="J768">
        <v>10617</v>
      </c>
      <c r="K768">
        <v>600.37</v>
      </c>
      <c r="L768" s="3">
        <f t="shared" si="11"/>
        <v>0.10495979020979021</v>
      </c>
    </row>
    <row r="769" spans="1:12" x14ac:dyDescent="0.3">
      <c r="A769" s="5" t="s">
        <v>369</v>
      </c>
      <c r="B769" t="s">
        <v>31</v>
      </c>
      <c r="C769">
        <v>2025</v>
      </c>
      <c r="D769" t="s">
        <v>18</v>
      </c>
      <c r="E769" t="s">
        <v>28</v>
      </c>
      <c r="F769" t="s">
        <v>62</v>
      </c>
      <c r="G769" t="s">
        <v>63</v>
      </c>
      <c r="H769">
        <v>10</v>
      </c>
      <c r="I769">
        <v>12490</v>
      </c>
      <c r="J769">
        <v>14031</v>
      </c>
      <c r="K769">
        <v>3172.77</v>
      </c>
      <c r="L769" s="3">
        <f t="shared" si="11"/>
        <v>0.25402481985588471</v>
      </c>
    </row>
    <row r="770" spans="1:12" x14ac:dyDescent="0.3">
      <c r="A770" s="5" t="s">
        <v>260</v>
      </c>
      <c r="B770" t="s">
        <v>22</v>
      </c>
      <c r="C770">
        <v>2025</v>
      </c>
      <c r="D770" t="s">
        <v>18</v>
      </c>
      <c r="E770" t="s">
        <v>60</v>
      </c>
      <c r="F770" t="s">
        <v>62</v>
      </c>
      <c r="G770" t="s">
        <v>63</v>
      </c>
      <c r="H770">
        <v>1</v>
      </c>
      <c r="I770">
        <v>798</v>
      </c>
      <c r="J770">
        <v>14287</v>
      </c>
      <c r="K770">
        <v>182.99</v>
      </c>
      <c r="L770" s="3">
        <f t="shared" si="11"/>
        <v>0.22931077694235591</v>
      </c>
    </row>
    <row r="771" spans="1:12" x14ac:dyDescent="0.3">
      <c r="A771" s="5" t="s">
        <v>147</v>
      </c>
      <c r="B771" t="s">
        <v>57</v>
      </c>
      <c r="C771">
        <v>2025</v>
      </c>
      <c r="D771" t="s">
        <v>23</v>
      </c>
      <c r="E771" t="s">
        <v>60</v>
      </c>
      <c r="F771" t="s">
        <v>19</v>
      </c>
      <c r="G771" t="s">
        <v>20</v>
      </c>
      <c r="H771">
        <v>1</v>
      </c>
      <c r="I771">
        <v>398</v>
      </c>
      <c r="J771">
        <v>6600</v>
      </c>
      <c r="K771">
        <v>49.85</v>
      </c>
      <c r="L771" s="3">
        <f t="shared" ref="L771:L834" si="12">K771/I771</f>
        <v>0.12525125628140704</v>
      </c>
    </row>
    <row r="772" spans="1:12" x14ac:dyDescent="0.3">
      <c r="A772" s="5" t="s">
        <v>104</v>
      </c>
      <c r="B772" t="s">
        <v>85</v>
      </c>
      <c r="C772">
        <v>2025</v>
      </c>
      <c r="D772" t="s">
        <v>18</v>
      </c>
      <c r="E772" t="s">
        <v>28</v>
      </c>
      <c r="F772" t="s">
        <v>62</v>
      </c>
      <c r="G772" t="s">
        <v>63</v>
      </c>
      <c r="H772">
        <v>3</v>
      </c>
      <c r="I772">
        <v>1215</v>
      </c>
      <c r="J772">
        <v>14325</v>
      </c>
      <c r="K772">
        <v>150.07</v>
      </c>
      <c r="L772" s="3">
        <f t="shared" si="12"/>
        <v>0.12351440329218107</v>
      </c>
    </row>
    <row r="773" spans="1:12" x14ac:dyDescent="0.3">
      <c r="A773" s="5" t="s">
        <v>340</v>
      </c>
      <c r="B773" t="s">
        <v>85</v>
      </c>
      <c r="C773">
        <v>2025</v>
      </c>
      <c r="D773" t="s">
        <v>23</v>
      </c>
      <c r="E773" t="s">
        <v>28</v>
      </c>
      <c r="F773" t="s">
        <v>19</v>
      </c>
      <c r="G773" t="s">
        <v>20</v>
      </c>
      <c r="H773">
        <v>5</v>
      </c>
      <c r="I773">
        <v>3955</v>
      </c>
      <c r="J773">
        <v>8048</v>
      </c>
      <c r="K773">
        <v>928.8</v>
      </c>
      <c r="L773" s="3">
        <f t="shared" si="12"/>
        <v>0.23484197218710492</v>
      </c>
    </row>
    <row r="774" spans="1:12" x14ac:dyDescent="0.3">
      <c r="A774" s="5" t="s">
        <v>364</v>
      </c>
      <c r="B774" t="s">
        <v>39</v>
      </c>
      <c r="C774">
        <v>2025</v>
      </c>
      <c r="D774" t="s">
        <v>13</v>
      </c>
      <c r="E774" t="s">
        <v>28</v>
      </c>
      <c r="F774" t="s">
        <v>15</v>
      </c>
      <c r="G774" t="s">
        <v>16</v>
      </c>
      <c r="H774">
        <v>14</v>
      </c>
      <c r="I774">
        <v>3682</v>
      </c>
      <c r="J774">
        <v>16908</v>
      </c>
      <c r="K774">
        <v>1013.5</v>
      </c>
      <c r="L774" s="3">
        <f t="shared" si="12"/>
        <v>0.27525801195002714</v>
      </c>
    </row>
    <row r="775" spans="1:12" x14ac:dyDescent="0.3">
      <c r="A775" s="5" t="s">
        <v>131</v>
      </c>
      <c r="B775" t="s">
        <v>22</v>
      </c>
      <c r="C775">
        <v>2025</v>
      </c>
      <c r="D775" t="s">
        <v>23</v>
      </c>
      <c r="E775" t="s">
        <v>14</v>
      </c>
      <c r="F775" t="s">
        <v>29</v>
      </c>
      <c r="G775" t="s">
        <v>20</v>
      </c>
      <c r="H775">
        <v>7</v>
      </c>
      <c r="I775">
        <v>6545</v>
      </c>
      <c r="J775">
        <v>7710</v>
      </c>
      <c r="K775">
        <v>1130.17</v>
      </c>
      <c r="L775" s="3">
        <f t="shared" si="12"/>
        <v>0.17267685255920551</v>
      </c>
    </row>
    <row r="776" spans="1:12" x14ac:dyDescent="0.3">
      <c r="A776" s="5" t="s">
        <v>288</v>
      </c>
      <c r="B776" t="s">
        <v>57</v>
      </c>
      <c r="C776">
        <v>2025</v>
      </c>
      <c r="D776" t="s">
        <v>23</v>
      </c>
      <c r="E776" t="s">
        <v>28</v>
      </c>
      <c r="F776" t="s">
        <v>19</v>
      </c>
      <c r="G776" t="s">
        <v>20</v>
      </c>
      <c r="H776">
        <v>18</v>
      </c>
      <c r="I776">
        <v>5076</v>
      </c>
      <c r="J776">
        <v>19176</v>
      </c>
      <c r="K776">
        <v>858.65</v>
      </c>
      <c r="L776" s="3">
        <f t="shared" si="12"/>
        <v>0.16915878644602048</v>
      </c>
    </row>
    <row r="777" spans="1:12" x14ac:dyDescent="0.3">
      <c r="A777" s="5" t="s">
        <v>370</v>
      </c>
      <c r="B777" t="s">
        <v>57</v>
      </c>
      <c r="C777">
        <v>2025</v>
      </c>
      <c r="D777" t="s">
        <v>32</v>
      </c>
      <c r="E777" t="s">
        <v>49</v>
      </c>
      <c r="F777" t="s">
        <v>29</v>
      </c>
      <c r="G777" t="s">
        <v>20</v>
      </c>
      <c r="H777">
        <v>4</v>
      </c>
      <c r="I777">
        <v>2548</v>
      </c>
      <c r="J777">
        <v>19231</v>
      </c>
      <c r="K777">
        <v>460.75</v>
      </c>
      <c r="L777" s="3">
        <f t="shared" si="12"/>
        <v>0.18082810047095763</v>
      </c>
    </row>
    <row r="778" spans="1:12" x14ac:dyDescent="0.3">
      <c r="A778" s="5" t="s">
        <v>342</v>
      </c>
      <c r="B778" t="s">
        <v>57</v>
      </c>
      <c r="C778">
        <v>2025</v>
      </c>
      <c r="D778" t="s">
        <v>32</v>
      </c>
      <c r="E778" t="s">
        <v>28</v>
      </c>
      <c r="F778" t="s">
        <v>29</v>
      </c>
      <c r="G778" t="s">
        <v>20</v>
      </c>
      <c r="H778">
        <v>17</v>
      </c>
      <c r="I778">
        <v>10999</v>
      </c>
      <c r="J778">
        <v>16010</v>
      </c>
      <c r="K778">
        <v>1974.15</v>
      </c>
      <c r="L778" s="3">
        <f t="shared" si="12"/>
        <v>0.179484498590781</v>
      </c>
    </row>
    <row r="779" spans="1:12" x14ac:dyDescent="0.3">
      <c r="A779" s="5" t="s">
        <v>202</v>
      </c>
      <c r="B779" t="s">
        <v>45</v>
      </c>
      <c r="C779">
        <v>2025</v>
      </c>
      <c r="D779" t="s">
        <v>13</v>
      </c>
      <c r="E779" t="s">
        <v>28</v>
      </c>
      <c r="F779" t="s">
        <v>15</v>
      </c>
      <c r="G779" t="s">
        <v>16</v>
      </c>
      <c r="H779">
        <v>19</v>
      </c>
      <c r="I779">
        <v>27113</v>
      </c>
      <c r="J779">
        <v>6498</v>
      </c>
      <c r="K779">
        <v>7876.93</v>
      </c>
      <c r="L779" s="3">
        <f t="shared" si="12"/>
        <v>0.29052225869509091</v>
      </c>
    </row>
    <row r="780" spans="1:12" x14ac:dyDescent="0.3">
      <c r="A780" s="5" t="s">
        <v>153</v>
      </c>
      <c r="B780" t="s">
        <v>31</v>
      </c>
      <c r="C780">
        <v>2025</v>
      </c>
      <c r="D780" t="s">
        <v>23</v>
      </c>
      <c r="E780" t="s">
        <v>14</v>
      </c>
      <c r="F780" t="s">
        <v>42</v>
      </c>
      <c r="G780" t="s">
        <v>20</v>
      </c>
      <c r="H780">
        <v>5</v>
      </c>
      <c r="I780">
        <v>3510</v>
      </c>
      <c r="J780">
        <v>5457</v>
      </c>
      <c r="K780">
        <v>623.95000000000005</v>
      </c>
      <c r="L780" s="3">
        <f t="shared" si="12"/>
        <v>0.17776353276353277</v>
      </c>
    </row>
    <row r="781" spans="1:12" x14ac:dyDescent="0.3">
      <c r="A781" s="5" t="s">
        <v>140</v>
      </c>
      <c r="B781" t="s">
        <v>39</v>
      </c>
      <c r="C781">
        <v>2025</v>
      </c>
      <c r="D781" t="s">
        <v>23</v>
      </c>
      <c r="E781" t="s">
        <v>60</v>
      </c>
      <c r="F781" t="s">
        <v>15</v>
      </c>
      <c r="G781" t="s">
        <v>16</v>
      </c>
      <c r="H781">
        <v>9</v>
      </c>
      <c r="I781">
        <v>10404</v>
      </c>
      <c r="J781">
        <v>14706</v>
      </c>
      <c r="K781">
        <v>2514.7399999999998</v>
      </c>
      <c r="L781" s="3">
        <f t="shared" si="12"/>
        <v>0.2417089580930411</v>
      </c>
    </row>
    <row r="782" spans="1:12" x14ac:dyDescent="0.3">
      <c r="A782" s="5" t="s">
        <v>273</v>
      </c>
      <c r="B782" t="s">
        <v>48</v>
      </c>
      <c r="C782">
        <v>2025</v>
      </c>
      <c r="D782" t="s">
        <v>32</v>
      </c>
      <c r="E782" t="s">
        <v>60</v>
      </c>
      <c r="F782" t="s">
        <v>62</v>
      </c>
      <c r="G782" t="s">
        <v>63</v>
      </c>
      <c r="H782">
        <v>8</v>
      </c>
      <c r="I782">
        <v>6640</v>
      </c>
      <c r="J782">
        <v>16198</v>
      </c>
      <c r="K782">
        <v>1298.19</v>
      </c>
      <c r="L782" s="3">
        <f t="shared" si="12"/>
        <v>0.19551054216867469</v>
      </c>
    </row>
    <row r="783" spans="1:12" x14ac:dyDescent="0.3">
      <c r="A783" s="5" t="s">
        <v>111</v>
      </c>
      <c r="B783" t="s">
        <v>34</v>
      </c>
      <c r="C783">
        <v>2025</v>
      </c>
      <c r="D783" t="s">
        <v>18</v>
      </c>
      <c r="E783" t="s">
        <v>28</v>
      </c>
      <c r="F783" t="s">
        <v>62</v>
      </c>
      <c r="G783" t="s">
        <v>63</v>
      </c>
      <c r="H783">
        <v>20</v>
      </c>
      <c r="I783">
        <v>7460</v>
      </c>
      <c r="J783">
        <v>14208</v>
      </c>
      <c r="K783">
        <v>2155.2800000000002</v>
      </c>
      <c r="L783" s="3">
        <f t="shared" si="12"/>
        <v>0.2889115281501341</v>
      </c>
    </row>
    <row r="784" spans="1:12" x14ac:dyDescent="0.3">
      <c r="A784" s="5" t="s">
        <v>217</v>
      </c>
      <c r="B784" t="s">
        <v>37</v>
      </c>
      <c r="C784">
        <v>2025</v>
      </c>
      <c r="D784" t="s">
        <v>18</v>
      </c>
      <c r="E784" t="s">
        <v>28</v>
      </c>
      <c r="F784" t="s">
        <v>62</v>
      </c>
      <c r="G784" t="s">
        <v>63</v>
      </c>
      <c r="H784">
        <v>1</v>
      </c>
      <c r="I784">
        <v>536</v>
      </c>
      <c r="J784">
        <v>13085</v>
      </c>
      <c r="K784">
        <v>152.11000000000001</v>
      </c>
      <c r="L784" s="3">
        <f t="shared" si="12"/>
        <v>0.28378731343283586</v>
      </c>
    </row>
    <row r="785" spans="1:12" x14ac:dyDescent="0.3">
      <c r="A785" s="5" t="s">
        <v>58</v>
      </c>
      <c r="B785" t="s">
        <v>39</v>
      </c>
      <c r="C785">
        <v>2025</v>
      </c>
      <c r="D785" t="s">
        <v>18</v>
      </c>
      <c r="E785" t="s">
        <v>49</v>
      </c>
      <c r="F785" t="s">
        <v>62</v>
      </c>
      <c r="G785" t="s">
        <v>63</v>
      </c>
      <c r="H785">
        <v>10</v>
      </c>
      <c r="I785">
        <v>4100</v>
      </c>
      <c r="J785">
        <v>16927</v>
      </c>
      <c r="K785">
        <v>1097.73</v>
      </c>
      <c r="L785" s="3">
        <f t="shared" si="12"/>
        <v>0.26773902439024388</v>
      </c>
    </row>
    <row r="786" spans="1:12" x14ac:dyDescent="0.3">
      <c r="A786" s="5" t="s">
        <v>51</v>
      </c>
      <c r="B786" t="s">
        <v>41</v>
      </c>
      <c r="C786">
        <v>2025</v>
      </c>
      <c r="D786" t="s">
        <v>18</v>
      </c>
      <c r="E786" t="s">
        <v>49</v>
      </c>
      <c r="F786" t="s">
        <v>19</v>
      </c>
      <c r="G786" t="s">
        <v>20</v>
      </c>
      <c r="H786">
        <v>16</v>
      </c>
      <c r="I786">
        <v>2208</v>
      </c>
      <c r="J786">
        <v>17512</v>
      </c>
      <c r="K786">
        <v>389.76</v>
      </c>
      <c r="L786" s="3">
        <f t="shared" si="12"/>
        <v>0.17652173913043478</v>
      </c>
    </row>
    <row r="787" spans="1:12" x14ac:dyDescent="0.3">
      <c r="A787" s="5" t="s">
        <v>67</v>
      </c>
      <c r="B787" t="s">
        <v>22</v>
      </c>
      <c r="C787">
        <v>2025</v>
      </c>
      <c r="D787" t="s">
        <v>18</v>
      </c>
      <c r="E787" t="s">
        <v>14</v>
      </c>
      <c r="F787" t="s">
        <v>62</v>
      </c>
      <c r="G787" t="s">
        <v>63</v>
      </c>
      <c r="H787">
        <v>20</v>
      </c>
      <c r="I787">
        <v>3280</v>
      </c>
      <c r="J787">
        <v>5260</v>
      </c>
      <c r="K787">
        <v>871.63</v>
      </c>
      <c r="L787" s="3">
        <f t="shared" si="12"/>
        <v>0.26574085365853656</v>
      </c>
    </row>
    <row r="788" spans="1:12" x14ac:dyDescent="0.3">
      <c r="A788" s="5" t="s">
        <v>324</v>
      </c>
      <c r="B788" t="s">
        <v>41</v>
      </c>
      <c r="C788">
        <v>2025</v>
      </c>
      <c r="D788" t="s">
        <v>18</v>
      </c>
      <c r="E788" t="s">
        <v>49</v>
      </c>
      <c r="F788" t="s">
        <v>29</v>
      </c>
      <c r="G788" t="s">
        <v>20</v>
      </c>
      <c r="H788">
        <v>2</v>
      </c>
      <c r="I788">
        <v>1142</v>
      </c>
      <c r="J788">
        <v>17660</v>
      </c>
      <c r="K788">
        <v>137.19999999999999</v>
      </c>
      <c r="L788" s="3">
        <f t="shared" si="12"/>
        <v>0.1201401050788091</v>
      </c>
    </row>
    <row r="789" spans="1:12" x14ac:dyDescent="0.3">
      <c r="A789" s="5" t="s">
        <v>255</v>
      </c>
      <c r="B789" t="s">
        <v>48</v>
      </c>
      <c r="C789">
        <v>2025</v>
      </c>
      <c r="D789" t="s">
        <v>32</v>
      </c>
      <c r="E789" t="s">
        <v>60</v>
      </c>
      <c r="F789" t="s">
        <v>19</v>
      </c>
      <c r="G789" t="s">
        <v>20</v>
      </c>
      <c r="H789">
        <v>3</v>
      </c>
      <c r="I789">
        <v>402</v>
      </c>
      <c r="J789">
        <v>5193</v>
      </c>
      <c r="K789">
        <v>119.4</v>
      </c>
      <c r="L789" s="3">
        <f t="shared" si="12"/>
        <v>0.29701492537313434</v>
      </c>
    </row>
    <row r="790" spans="1:12" x14ac:dyDescent="0.3">
      <c r="A790" s="5" t="s">
        <v>355</v>
      </c>
      <c r="B790" t="s">
        <v>85</v>
      </c>
      <c r="C790">
        <v>2025</v>
      </c>
      <c r="D790" t="s">
        <v>32</v>
      </c>
      <c r="E790" t="s">
        <v>14</v>
      </c>
      <c r="F790" t="s">
        <v>19</v>
      </c>
      <c r="G790" t="s">
        <v>20</v>
      </c>
      <c r="H790">
        <v>1</v>
      </c>
      <c r="I790">
        <v>1264</v>
      </c>
      <c r="J790">
        <v>6479</v>
      </c>
      <c r="K790">
        <v>169.75</v>
      </c>
      <c r="L790" s="3">
        <f t="shared" si="12"/>
        <v>0.13429588607594936</v>
      </c>
    </row>
    <row r="791" spans="1:12" x14ac:dyDescent="0.3">
      <c r="A791" s="5" t="s">
        <v>172</v>
      </c>
      <c r="B791" t="s">
        <v>22</v>
      </c>
      <c r="C791">
        <v>2025</v>
      </c>
      <c r="D791" t="s">
        <v>18</v>
      </c>
      <c r="E791" t="s">
        <v>28</v>
      </c>
      <c r="F791" t="s">
        <v>15</v>
      </c>
      <c r="G791" t="s">
        <v>16</v>
      </c>
      <c r="H791">
        <v>18</v>
      </c>
      <c r="I791">
        <v>21366</v>
      </c>
      <c r="J791">
        <v>9505</v>
      </c>
      <c r="K791">
        <v>2205.25</v>
      </c>
      <c r="L791" s="3">
        <f t="shared" si="12"/>
        <v>0.10321304876907236</v>
      </c>
    </row>
    <row r="792" spans="1:12" x14ac:dyDescent="0.3">
      <c r="A792" s="5" t="s">
        <v>288</v>
      </c>
      <c r="B792" t="s">
        <v>57</v>
      </c>
      <c r="C792">
        <v>2025</v>
      </c>
      <c r="D792" t="s">
        <v>23</v>
      </c>
      <c r="E792" t="s">
        <v>60</v>
      </c>
      <c r="F792" t="s">
        <v>42</v>
      </c>
      <c r="G792" t="s">
        <v>20</v>
      </c>
      <c r="H792">
        <v>16</v>
      </c>
      <c r="I792">
        <v>13296</v>
      </c>
      <c r="J792">
        <v>16095</v>
      </c>
      <c r="K792">
        <v>3661.06</v>
      </c>
      <c r="L792" s="3">
        <f t="shared" si="12"/>
        <v>0.27535048134777379</v>
      </c>
    </row>
    <row r="793" spans="1:12" x14ac:dyDescent="0.3">
      <c r="A793" s="5" t="s">
        <v>107</v>
      </c>
      <c r="B793" t="s">
        <v>12</v>
      </c>
      <c r="C793">
        <v>2025</v>
      </c>
      <c r="D793" t="s">
        <v>23</v>
      </c>
      <c r="E793" t="s">
        <v>28</v>
      </c>
      <c r="F793" t="s">
        <v>19</v>
      </c>
      <c r="G793" t="s">
        <v>20</v>
      </c>
      <c r="H793">
        <v>16</v>
      </c>
      <c r="I793">
        <v>7296</v>
      </c>
      <c r="J793">
        <v>16293</v>
      </c>
      <c r="K793">
        <v>1046.8800000000001</v>
      </c>
      <c r="L793" s="3">
        <f t="shared" si="12"/>
        <v>0.14348684210526316</v>
      </c>
    </row>
    <row r="794" spans="1:12" x14ac:dyDescent="0.3">
      <c r="A794" s="5" t="s">
        <v>120</v>
      </c>
      <c r="B794" t="s">
        <v>37</v>
      </c>
      <c r="C794">
        <v>2025</v>
      </c>
      <c r="D794" t="s">
        <v>23</v>
      </c>
      <c r="E794" t="s">
        <v>14</v>
      </c>
      <c r="F794" t="s">
        <v>19</v>
      </c>
      <c r="G794" t="s">
        <v>20</v>
      </c>
      <c r="H794">
        <v>15</v>
      </c>
      <c r="I794">
        <v>9435</v>
      </c>
      <c r="J794">
        <v>9958</v>
      </c>
      <c r="K794">
        <v>2219.6</v>
      </c>
      <c r="L794" s="3">
        <f t="shared" si="12"/>
        <v>0.23525172231054584</v>
      </c>
    </row>
    <row r="795" spans="1:12" x14ac:dyDescent="0.3">
      <c r="A795" s="5" t="s">
        <v>333</v>
      </c>
      <c r="B795" t="s">
        <v>31</v>
      </c>
      <c r="C795">
        <v>2025</v>
      </c>
      <c r="D795" t="s">
        <v>23</v>
      </c>
      <c r="E795" t="s">
        <v>49</v>
      </c>
      <c r="F795" t="s">
        <v>42</v>
      </c>
      <c r="G795" t="s">
        <v>20</v>
      </c>
      <c r="H795">
        <v>2</v>
      </c>
      <c r="I795">
        <v>1860</v>
      </c>
      <c r="J795">
        <v>13553</v>
      </c>
      <c r="K795">
        <v>404.1</v>
      </c>
      <c r="L795" s="3">
        <f t="shared" si="12"/>
        <v>0.21725806451612906</v>
      </c>
    </row>
    <row r="796" spans="1:12" x14ac:dyDescent="0.3">
      <c r="A796" s="5" t="s">
        <v>258</v>
      </c>
      <c r="B796" t="s">
        <v>41</v>
      </c>
      <c r="C796">
        <v>2025</v>
      </c>
      <c r="D796" t="s">
        <v>23</v>
      </c>
      <c r="E796" t="s">
        <v>49</v>
      </c>
      <c r="F796" t="s">
        <v>62</v>
      </c>
      <c r="G796" t="s">
        <v>63</v>
      </c>
      <c r="H796">
        <v>16</v>
      </c>
      <c r="I796">
        <v>13952</v>
      </c>
      <c r="J796">
        <v>18644</v>
      </c>
      <c r="K796">
        <v>2009.21</v>
      </c>
      <c r="L796" s="3">
        <f t="shared" si="12"/>
        <v>0.14400874426605506</v>
      </c>
    </row>
    <row r="797" spans="1:12" x14ac:dyDescent="0.3">
      <c r="A797" s="5" t="s">
        <v>53</v>
      </c>
      <c r="B797" t="s">
        <v>39</v>
      </c>
      <c r="C797">
        <v>2025</v>
      </c>
      <c r="D797" t="s">
        <v>18</v>
      </c>
      <c r="E797" t="s">
        <v>60</v>
      </c>
      <c r="F797" t="s">
        <v>62</v>
      </c>
      <c r="G797" t="s">
        <v>63</v>
      </c>
      <c r="H797">
        <v>12</v>
      </c>
      <c r="I797">
        <v>9732</v>
      </c>
      <c r="J797">
        <v>14760</v>
      </c>
      <c r="K797">
        <v>1410.84</v>
      </c>
      <c r="L797" s="3">
        <f t="shared" si="12"/>
        <v>0.14496917385943278</v>
      </c>
    </row>
    <row r="798" spans="1:12" x14ac:dyDescent="0.3">
      <c r="A798" s="5" t="s">
        <v>115</v>
      </c>
      <c r="B798" t="s">
        <v>39</v>
      </c>
      <c r="C798">
        <v>2025</v>
      </c>
      <c r="D798" t="s">
        <v>32</v>
      </c>
      <c r="E798" t="s">
        <v>49</v>
      </c>
      <c r="F798" t="s">
        <v>42</v>
      </c>
      <c r="G798" t="s">
        <v>20</v>
      </c>
      <c r="H798">
        <v>5</v>
      </c>
      <c r="I798">
        <v>3800</v>
      </c>
      <c r="J798">
        <v>19799</v>
      </c>
      <c r="K798">
        <v>592.47</v>
      </c>
      <c r="L798" s="3">
        <f t="shared" si="12"/>
        <v>0.15591315789473684</v>
      </c>
    </row>
    <row r="799" spans="1:12" x14ac:dyDescent="0.3">
      <c r="A799" s="5" t="s">
        <v>282</v>
      </c>
      <c r="B799" t="s">
        <v>37</v>
      </c>
      <c r="C799">
        <v>2025</v>
      </c>
      <c r="D799" t="s">
        <v>32</v>
      </c>
      <c r="E799" t="s">
        <v>26</v>
      </c>
      <c r="F799" t="s">
        <v>29</v>
      </c>
      <c r="G799" t="s">
        <v>20</v>
      </c>
      <c r="H799">
        <v>14</v>
      </c>
      <c r="I799">
        <v>1554</v>
      </c>
      <c r="J799">
        <v>16442</v>
      </c>
      <c r="K799">
        <v>174.26</v>
      </c>
      <c r="L799" s="3">
        <f t="shared" si="12"/>
        <v>0.11213642213642214</v>
      </c>
    </row>
    <row r="800" spans="1:12" x14ac:dyDescent="0.3">
      <c r="A800" s="5" t="s">
        <v>282</v>
      </c>
      <c r="B800" t="s">
        <v>37</v>
      </c>
      <c r="C800">
        <v>2025</v>
      </c>
      <c r="D800" t="s">
        <v>18</v>
      </c>
      <c r="E800" t="s">
        <v>28</v>
      </c>
      <c r="F800" t="s">
        <v>62</v>
      </c>
      <c r="G800" t="s">
        <v>63</v>
      </c>
      <c r="H800">
        <v>15</v>
      </c>
      <c r="I800">
        <v>22215</v>
      </c>
      <c r="J800">
        <v>16203</v>
      </c>
      <c r="K800">
        <v>6024.99</v>
      </c>
      <c r="L800" s="3">
        <f t="shared" si="12"/>
        <v>0.27121269412559079</v>
      </c>
    </row>
    <row r="801" spans="1:12" x14ac:dyDescent="0.3">
      <c r="A801" s="5" t="s">
        <v>132</v>
      </c>
      <c r="B801" t="s">
        <v>31</v>
      </c>
      <c r="C801">
        <v>2025</v>
      </c>
      <c r="D801" t="s">
        <v>32</v>
      </c>
      <c r="E801" t="s">
        <v>26</v>
      </c>
      <c r="F801" t="s">
        <v>19</v>
      </c>
      <c r="G801" t="s">
        <v>20</v>
      </c>
      <c r="H801">
        <v>19</v>
      </c>
      <c r="I801">
        <v>19304</v>
      </c>
      <c r="J801">
        <v>7449</v>
      </c>
      <c r="K801">
        <v>5159.83</v>
      </c>
      <c r="L801" s="3">
        <f t="shared" si="12"/>
        <v>0.2672933070866142</v>
      </c>
    </row>
    <row r="802" spans="1:12" x14ac:dyDescent="0.3">
      <c r="A802" s="5" t="s">
        <v>237</v>
      </c>
      <c r="B802" t="s">
        <v>39</v>
      </c>
      <c r="C802">
        <v>2025</v>
      </c>
      <c r="D802" t="s">
        <v>13</v>
      </c>
      <c r="E802" t="s">
        <v>28</v>
      </c>
      <c r="F802" t="s">
        <v>35</v>
      </c>
      <c r="G802" t="s">
        <v>20</v>
      </c>
      <c r="H802">
        <v>18</v>
      </c>
      <c r="I802">
        <v>11250</v>
      </c>
      <c r="J802">
        <v>13117</v>
      </c>
      <c r="K802">
        <v>2119.86</v>
      </c>
      <c r="L802" s="3">
        <f t="shared" si="12"/>
        <v>0.18843200000000002</v>
      </c>
    </row>
    <row r="803" spans="1:12" x14ac:dyDescent="0.3">
      <c r="A803" s="5" t="s">
        <v>183</v>
      </c>
      <c r="B803" t="s">
        <v>31</v>
      </c>
      <c r="C803">
        <v>2025</v>
      </c>
      <c r="D803" t="s">
        <v>32</v>
      </c>
      <c r="E803" t="s">
        <v>60</v>
      </c>
      <c r="F803" t="s">
        <v>29</v>
      </c>
      <c r="G803" t="s">
        <v>20</v>
      </c>
      <c r="H803">
        <v>15</v>
      </c>
      <c r="I803">
        <v>21435</v>
      </c>
      <c r="J803">
        <v>16117</v>
      </c>
      <c r="K803">
        <v>4886.93</v>
      </c>
      <c r="L803" s="3">
        <f t="shared" si="12"/>
        <v>0.22798833683228367</v>
      </c>
    </row>
    <row r="804" spans="1:12" x14ac:dyDescent="0.3">
      <c r="A804" s="5" t="s">
        <v>199</v>
      </c>
      <c r="B804" t="s">
        <v>39</v>
      </c>
      <c r="C804">
        <v>2025</v>
      </c>
      <c r="D804" t="s">
        <v>18</v>
      </c>
      <c r="E804" t="s">
        <v>28</v>
      </c>
      <c r="F804" t="s">
        <v>35</v>
      </c>
      <c r="G804" t="s">
        <v>20</v>
      </c>
      <c r="H804">
        <v>12</v>
      </c>
      <c r="I804">
        <v>16644</v>
      </c>
      <c r="J804">
        <v>6406</v>
      </c>
      <c r="K804">
        <v>4624.25</v>
      </c>
      <c r="L804" s="3">
        <f t="shared" si="12"/>
        <v>0.2778328526796443</v>
      </c>
    </row>
    <row r="805" spans="1:12" x14ac:dyDescent="0.3">
      <c r="A805" s="5" t="s">
        <v>147</v>
      </c>
      <c r="B805" t="s">
        <v>57</v>
      </c>
      <c r="C805">
        <v>2025</v>
      </c>
      <c r="D805" t="s">
        <v>32</v>
      </c>
      <c r="E805" t="s">
        <v>26</v>
      </c>
      <c r="F805" t="s">
        <v>29</v>
      </c>
      <c r="G805" t="s">
        <v>20</v>
      </c>
      <c r="H805">
        <v>18</v>
      </c>
      <c r="I805">
        <v>19476</v>
      </c>
      <c r="J805">
        <v>16375</v>
      </c>
      <c r="K805">
        <v>3421.04</v>
      </c>
      <c r="L805" s="3">
        <f t="shared" si="12"/>
        <v>0.17565413842678168</v>
      </c>
    </row>
    <row r="806" spans="1:12" x14ac:dyDescent="0.3">
      <c r="A806" s="5" t="s">
        <v>258</v>
      </c>
      <c r="B806" t="s">
        <v>41</v>
      </c>
      <c r="C806">
        <v>2025</v>
      </c>
      <c r="D806" t="s">
        <v>13</v>
      </c>
      <c r="E806" t="s">
        <v>60</v>
      </c>
      <c r="F806" t="s">
        <v>42</v>
      </c>
      <c r="G806" t="s">
        <v>20</v>
      </c>
      <c r="H806">
        <v>13</v>
      </c>
      <c r="I806">
        <v>1404</v>
      </c>
      <c r="J806">
        <v>8791</v>
      </c>
      <c r="K806">
        <v>244.64</v>
      </c>
      <c r="L806" s="3">
        <f t="shared" si="12"/>
        <v>0.17424501424501423</v>
      </c>
    </row>
    <row r="807" spans="1:12" x14ac:dyDescent="0.3">
      <c r="A807" s="5" t="s">
        <v>271</v>
      </c>
      <c r="B807" t="s">
        <v>22</v>
      </c>
      <c r="C807">
        <v>2025</v>
      </c>
      <c r="D807" t="s">
        <v>32</v>
      </c>
      <c r="E807" t="s">
        <v>26</v>
      </c>
      <c r="F807" t="s">
        <v>29</v>
      </c>
      <c r="G807" t="s">
        <v>20</v>
      </c>
      <c r="H807">
        <v>18</v>
      </c>
      <c r="I807">
        <v>2250</v>
      </c>
      <c r="J807">
        <v>19744</v>
      </c>
      <c r="K807">
        <v>658.19</v>
      </c>
      <c r="L807" s="3">
        <f t="shared" si="12"/>
        <v>0.29252888888888889</v>
      </c>
    </row>
    <row r="808" spans="1:12" x14ac:dyDescent="0.3">
      <c r="A808" s="5" t="s">
        <v>238</v>
      </c>
      <c r="B808" t="s">
        <v>41</v>
      </c>
      <c r="C808">
        <v>2025</v>
      </c>
      <c r="D808" t="s">
        <v>32</v>
      </c>
      <c r="E808" t="s">
        <v>49</v>
      </c>
      <c r="F808" t="s">
        <v>29</v>
      </c>
      <c r="G808" t="s">
        <v>20</v>
      </c>
      <c r="H808">
        <v>11</v>
      </c>
      <c r="I808">
        <v>11671</v>
      </c>
      <c r="J808">
        <v>12109</v>
      </c>
      <c r="K808">
        <v>3034.66</v>
      </c>
      <c r="L808" s="3">
        <f t="shared" si="12"/>
        <v>0.26001713649216002</v>
      </c>
    </row>
    <row r="809" spans="1:12" x14ac:dyDescent="0.3">
      <c r="A809" s="5" t="s">
        <v>152</v>
      </c>
      <c r="B809" t="s">
        <v>31</v>
      </c>
      <c r="C809">
        <v>2025</v>
      </c>
      <c r="D809" t="s">
        <v>18</v>
      </c>
      <c r="E809" t="s">
        <v>26</v>
      </c>
      <c r="F809" t="s">
        <v>19</v>
      </c>
      <c r="G809" t="s">
        <v>20</v>
      </c>
      <c r="H809">
        <v>19</v>
      </c>
      <c r="I809">
        <v>5966</v>
      </c>
      <c r="J809">
        <v>17035</v>
      </c>
      <c r="K809">
        <v>646.96</v>
      </c>
      <c r="L809" s="3">
        <f t="shared" si="12"/>
        <v>0.1084411666107945</v>
      </c>
    </row>
    <row r="810" spans="1:12" x14ac:dyDescent="0.3">
      <c r="A810" s="5" t="s">
        <v>302</v>
      </c>
      <c r="B810" t="s">
        <v>25</v>
      </c>
      <c r="C810">
        <v>2025</v>
      </c>
      <c r="D810" t="s">
        <v>32</v>
      </c>
      <c r="E810" t="s">
        <v>26</v>
      </c>
      <c r="F810" t="s">
        <v>42</v>
      </c>
      <c r="G810" t="s">
        <v>20</v>
      </c>
      <c r="H810">
        <v>17</v>
      </c>
      <c r="I810">
        <v>9911</v>
      </c>
      <c r="J810">
        <v>10583</v>
      </c>
      <c r="K810">
        <v>2323.0100000000002</v>
      </c>
      <c r="L810" s="3">
        <f t="shared" si="12"/>
        <v>0.23438704469781055</v>
      </c>
    </row>
    <row r="811" spans="1:12" x14ac:dyDescent="0.3">
      <c r="A811" s="5" t="s">
        <v>89</v>
      </c>
      <c r="B811" t="s">
        <v>31</v>
      </c>
      <c r="C811">
        <v>2025</v>
      </c>
      <c r="D811" t="s">
        <v>32</v>
      </c>
      <c r="E811" t="s">
        <v>49</v>
      </c>
      <c r="F811" t="s">
        <v>42</v>
      </c>
      <c r="G811" t="s">
        <v>20</v>
      </c>
      <c r="H811">
        <v>5</v>
      </c>
      <c r="I811">
        <v>2570</v>
      </c>
      <c r="J811">
        <v>9775</v>
      </c>
      <c r="K811">
        <v>681.75</v>
      </c>
      <c r="L811" s="3">
        <f t="shared" si="12"/>
        <v>0.26527237354085603</v>
      </c>
    </row>
    <row r="812" spans="1:12" x14ac:dyDescent="0.3">
      <c r="A812" s="5" t="s">
        <v>347</v>
      </c>
      <c r="B812" t="s">
        <v>45</v>
      </c>
      <c r="C812">
        <v>2025</v>
      </c>
      <c r="D812" t="s">
        <v>32</v>
      </c>
      <c r="E812" t="s">
        <v>60</v>
      </c>
      <c r="F812" t="s">
        <v>42</v>
      </c>
      <c r="G812" t="s">
        <v>20</v>
      </c>
      <c r="H812">
        <v>6</v>
      </c>
      <c r="I812">
        <v>5328</v>
      </c>
      <c r="J812">
        <v>5472</v>
      </c>
      <c r="K812">
        <v>1024.4100000000001</v>
      </c>
      <c r="L812" s="3">
        <f t="shared" si="12"/>
        <v>0.19226914414414417</v>
      </c>
    </row>
    <row r="813" spans="1:12" x14ac:dyDescent="0.3">
      <c r="A813" s="5" t="s">
        <v>252</v>
      </c>
      <c r="B813" t="s">
        <v>45</v>
      </c>
      <c r="C813">
        <v>2025</v>
      </c>
      <c r="D813" t="s">
        <v>13</v>
      </c>
      <c r="E813" t="s">
        <v>60</v>
      </c>
      <c r="F813" t="s">
        <v>42</v>
      </c>
      <c r="G813" t="s">
        <v>20</v>
      </c>
      <c r="H813">
        <v>9</v>
      </c>
      <c r="I813">
        <v>1332</v>
      </c>
      <c r="J813">
        <v>9369</v>
      </c>
      <c r="K813">
        <v>318.31</v>
      </c>
      <c r="L813" s="3">
        <f t="shared" si="12"/>
        <v>0.23897147147147146</v>
      </c>
    </row>
    <row r="814" spans="1:12" x14ac:dyDescent="0.3">
      <c r="A814" s="5" t="s">
        <v>172</v>
      </c>
      <c r="B814" t="s">
        <v>22</v>
      </c>
      <c r="C814">
        <v>2025</v>
      </c>
      <c r="D814" t="s">
        <v>13</v>
      </c>
      <c r="E814" t="s">
        <v>60</v>
      </c>
      <c r="F814" t="s">
        <v>42</v>
      </c>
      <c r="G814" t="s">
        <v>20</v>
      </c>
      <c r="H814">
        <v>10</v>
      </c>
      <c r="I814">
        <v>3270</v>
      </c>
      <c r="J814">
        <v>10695</v>
      </c>
      <c r="K814">
        <v>456.65</v>
      </c>
      <c r="L814" s="3">
        <f t="shared" si="12"/>
        <v>0.13964831804281344</v>
      </c>
    </row>
    <row r="815" spans="1:12" x14ac:dyDescent="0.3">
      <c r="A815" s="5" t="s">
        <v>253</v>
      </c>
      <c r="B815" t="s">
        <v>85</v>
      </c>
      <c r="C815">
        <v>2025</v>
      </c>
      <c r="D815" t="s">
        <v>18</v>
      </c>
      <c r="E815" t="s">
        <v>28</v>
      </c>
      <c r="F815" t="s">
        <v>15</v>
      </c>
      <c r="G815" t="s">
        <v>16</v>
      </c>
      <c r="H815">
        <v>2</v>
      </c>
      <c r="I815">
        <v>1126</v>
      </c>
      <c r="J815">
        <v>9819</v>
      </c>
      <c r="K815">
        <v>119.35</v>
      </c>
      <c r="L815" s="3">
        <f t="shared" si="12"/>
        <v>0.10599467140319715</v>
      </c>
    </row>
    <row r="816" spans="1:12" x14ac:dyDescent="0.3">
      <c r="A816" s="5" t="s">
        <v>231</v>
      </c>
      <c r="B816" t="s">
        <v>41</v>
      </c>
      <c r="C816">
        <v>2025</v>
      </c>
      <c r="D816" t="s">
        <v>18</v>
      </c>
      <c r="E816" t="s">
        <v>49</v>
      </c>
      <c r="F816" t="s">
        <v>42</v>
      </c>
      <c r="G816" t="s">
        <v>20</v>
      </c>
      <c r="H816">
        <v>13</v>
      </c>
      <c r="I816">
        <v>9035</v>
      </c>
      <c r="J816">
        <v>19024</v>
      </c>
      <c r="K816">
        <v>2578.67</v>
      </c>
      <c r="L816" s="3">
        <f t="shared" si="12"/>
        <v>0.28540896513558384</v>
      </c>
    </row>
    <row r="817" spans="1:12" x14ac:dyDescent="0.3">
      <c r="A817" s="5" t="s">
        <v>246</v>
      </c>
      <c r="B817" t="s">
        <v>45</v>
      </c>
      <c r="C817">
        <v>2025</v>
      </c>
      <c r="D817" t="s">
        <v>13</v>
      </c>
      <c r="E817" t="s">
        <v>49</v>
      </c>
      <c r="F817" t="s">
        <v>62</v>
      </c>
      <c r="G817" t="s">
        <v>63</v>
      </c>
      <c r="H817">
        <v>10</v>
      </c>
      <c r="I817">
        <v>7410</v>
      </c>
      <c r="J817">
        <v>12461</v>
      </c>
      <c r="K817">
        <v>1166.18</v>
      </c>
      <c r="L817" s="3">
        <f t="shared" si="12"/>
        <v>0.15737921727395413</v>
      </c>
    </row>
    <row r="818" spans="1:12" x14ac:dyDescent="0.3">
      <c r="A818" s="5" t="s">
        <v>371</v>
      </c>
      <c r="B818" t="s">
        <v>48</v>
      </c>
      <c r="C818">
        <v>2025</v>
      </c>
      <c r="D818" t="s">
        <v>23</v>
      </c>
      <c r="E818" t="s">
        <v>49</v>
      </c>
      <c r="F818" t="s">
        <v>15</v>
      </c>
      <c r="G818" t="s">
        <v>16</v>
      </c>
      <c r="H818">
        <v>4</v>
      </c>
      <c r="I818">
        <v>4076</v>
      </c>
      <c r="J818">
        <v>16438</v>
      </c>
      <c r="K818">
        <v>584.4</v>
      </c>
      <c r="L818" s="3">
        <f t="shared" si="12"/>
        <v>0.14337585868498529</v>
      </c>
    </row>
    <row r="819" spans="1:12" x14ac:dyDescent="0.3">
      <c r="A819" s="5" t="s">
        <v>264</v>
      </c>
      <c r="B819" t="s">
        <v>85</v>
      </c>
      <c r="C819">
        <v>2025</v>
      </c>
      <c r="D819" t="s">
        <v>23</v>
      </c>
      <c r="E819" t="s">
        <v>49</v>
      </c>
      <c r="F819" t="s">
        <v>19</v>
      </c>
      <c r="G819" t="s">
        <v>20</v>
      </c>
      <c r="H819">
        <v>19</v>
      </c>
      <c r="I819">
        <v>14877</v>
      </c>
      <c r="J819">
        <v>10721</v>
      </c>
      <c r="K819">
        <v>2591.35</v>
      </c>
      <c r="L819" s="3">
        <f t="shared" si="12"/>
        <v>0.17418498353162598</v>
      </c>
    </row>
    <row r="820" spans="1:12" x14ac:dyDescent="0.3">
      <c r="A820" s="5" t="s">
        <v>372</v>
      </c>
      <c r="B820" t="s">
        <v>22</v>
      </c>
      <c r="C820">
        <v>2025</v>
      </c>
      <c r="D820" t="s">
        <v>32</v>
      </c>
      <c r="E820" t="s">
        <v>49</v>
      </c>
      <c r="F820" t="s">
        <v>62</v>
      </c>
      <c r="G820" t="s">
        <v>63</v>
      </c>
      <c r="H820">
        <v>13</v>
      </c>
      <c r="I820">
        <v>16133</v>
      </c>
      <c r="J820">
        <v>17029</v>
      </c>
      <c r="K820">
        <v>4391.95</v>
      </c>
      <c r="L820" s="3">
        <f t="shared" si="12"/>
        <v>0.27223393045310851</v>
      </c>
    </row>
    <row r="821" spans="1:12" x14ac:dyDescent="0.3">
      <c r="A821" s="5" t="s">
        <v>358</v>
      </c>
      <c r="B821" t="s">
        <v>41</v>
      </c>
      <c r="C821">
        <v>2025</v>
      </c>
      <c r="D821" t="s">
        <v>18</v>
      </c>
      <c r="E821" t="s">
        <v>28</v>
      </c>
      <c r="F821" t="s">
        <v>62</v>
      </c>
      <c r="G821" t="s">
        <v>63</v>
      </c>
      <c r="H821">
        <v>2</v>
      </c>
      <c r="I821">
        <v>1838</v>
      </c>
      <c r="J821">
        <v>9771</v>
      </c>
      <c r="K821">
        <v>366.88</v>
      </c>
      <c r="L821" s="3">
        <f t="shared" si="12"/>
        <v>0.19960826985854188</v>
      </c>
    </row>
    <row r="822" spans="1:12" x14ac:dyDescent="0.3">
      <c r="A822" s="5" t="s">
        <v>356</v>
      </c>
      <c r="B822" t="s">
        <v>39</v>
      </c>
      <c r="C822">
        <v>2025</v>
      </c>
      <c r="D822" t="s">
        <v>18</v>
      </c>
      <c r="E822" t="s">
        <v>60</v>
      </c>
      <c r="F822" t="s">
        <v>35</v>
      </c>
      <c r="G822" t="s">
        <v>20</v>
      </c>
      <c r="H822">
        <v>20</v>
      </c>
      <c r="I822">
        <v>28600</v>
      </c>
      <c r="J822">
        <v>17947</v>
      </c>
      <c r="K822">
        <v>5314.6</v>
      </c>
      <c r="L822" s="3">
        <f t="shared" si="12"/>
        <v>0.18582517482517483</v>
      </c>
    </row>
    <row r="823" spans="1:12" x14ac:dyDescent="0.3">
      <c r="A823" s="5" t="s">
        <v>84</v>
      </c>
      <c r="B823" t="s">
        <v>85</v>
      </c>
      <c r="C823">
        <v>2025</v>
      </c>
      <c r="D823" t="s">
        <v>32</v>
      </c>
      <c r="E823" t="s">
        <v>14</v>
      </c>
      <c r="F823" t="s">
        <v>62</v>
      </c>
      <c r="G823" t="s">
        <v>63</v>
      </c>
      <c r="H823">
        <v>17</v>
      </c>
      <c r="I823">
        <v>10710</v>
      </c>
      <c r="J823">
        <v>9911</v>
      </c>
      <c r="K823">
        <v>1174.48</v>
      </c>
      <c r="L823" s="3">
        <f t="shared" si="12"/>
        <v>0.10966199813258637</v>
      </c>
    </row>
    <row r="824" spans="1:12" x14ac:dyDescent="0.3">
      <c r="A824" s="5" t="s">
        <v>333</v>
      </c>
      <c r="B824" t="s">
        <v>31</v>
      </c>
      <c r="C824">
        <v>2025</v>
      </c>
      <c r="D824" t="s">
        <v>32</v>
      </c>
      <c r="E824" t="s">
        <v>14</v>
      </c>
      <c r="F824" t="s">
        <v>62</v>
      </c>
      <c r="G824" t="s">
        <v>63</v>
      </c>
      <c r="H824">
        <v>19</v>
      </c>
      <c r="I824">
        <v>14174</v>
      </c>
      <c r="J824">
        <v>17239</v>
      </c>
      <c r="K824">
        <v>2599.37</v>
      </c>
      <c r="L824" s="3">
        <f t="shared" si="12"/>
        <v>0.18339000987724</v>
      </c>
    </row>
    <row r="825" spans="1:12" x14ac:dyDescent="0.3">
      <c r="A825" s="5" t="s">
        <v>273</v>
      </c>
      <c r="B825" t="s">
        <v>48</v>
      </c>
      <c r="C825">
        <v>2025</v>
      </c>
      <c r="D825" t="s">
        <v>13</v>
      </c>
      <c r="E825" t="s">
        <v>14</v>
      </c>
      <c r="F825" t="s">
        <v>29</v>
      </c>
      <c r="G825" t="s">
        <v>20</v>
      </c>
      <c r="H825">
        <v>11</v>
      </c>
      <c r="I825">
        <v>11836</v>
      </c>
      <c r="J825">
        <v>19724</v>
      </c>
      <c r="K825">
        <v>2331.65</v>
      </c>
      <c r="L825" s="3">
        <f t="shared" si="12"/>
        <v>0.19699645150388645</v>
      </c>
    </row>
    <row r="826" spans="1:12" x14ac:dyDescent="0.3">
      <c r="A826" s="5" t="s">
        <v>217</v>
      </c>
      <c r="B826" t="s">
        <v>37</v>
      </c>
      <c r="C826">
        <v>2025</v>
      </c>
      <c r="D826" t="s">
        <v>23</v>
      </c>
      <c r="E826" t="s">
        <v>60</v>
      </c>
      <c r="F826" t="s">
        <v>42</v>
      </c>
      <c r="G826" t="s">
        <v>20</v>
      </c>
      <c r="H826">
        <v>20</v>
      </c>
      <c r="I826">
        <v>6060</v>
      </c>
      <c r="J826">
        <v>18657</v>
      </c>
      <c r="K826">
        <v>1262.02</v>
      </c>
      <c r="L826" s="3">
        <f t="shared" si="12"/>
        <v>0.20825412541254126</v>
      </c>
    </row>
    <row r="827" spans="1:12" x14ac:dyDescent="0.3">
      <c r="A827" s="5" t="s">
        <v>228</v>
      </c>
      <c r="B827" t="s">
        <v>57</v>
      </c>
      <c r="C827">
        <v>2025</v>
      </c>
      <c r="D827" t="s">
        <v>18</v>
      </c>
      <c r="E827" t="s">
        <v>60</v>
      </c>
      <c r="F827" t="s">
        <v>15</v>
      </c>
      <c r="G827" t="s">
        <v>16</v>
      </c>
      <c r="H827">
        <v>17</v>
      </c>
      <c r="I827">
        <v>16218</v>
      </c>
      <c r="J827">
        <v>6332</v>
      </c>
      <c r="K827">
        <v>1842.48</v>
      </c>
      <c r="L827" s="3">
        <f t="shared" si="12"/>
        <v>0.11360710321864595</v>
      </c>
    </row>
    <row r="828" spans="1:12" x14ac:dyDescent="0.3">
      <c r="A828" s="5" t="s">
        <v>213</v>
      </c>
      <c r="B828" t="s">
        <v>45</v>
      </c>
      <c r="C828">
        <v>2025</v>
      </c>
      <c r="D828" t="s">
        <v>18</v>
      </c>
      <c r="E828" t="s">
        <v>28</v>
      </c>
      <c r="F828" t="s">
        <v>19</v>
      </c>
      <c r="G828" t="s">
        <v>20</v>
      </c>
      <c r="H828">
        <v>11</v>
      </c>
      <c r="I828">
        <v>7953</v>
      </c>
      <c r="J828">
        <v>8405</v>
      </c>
      <c r="K828">
        <v>1310.44</v>
      </c>
      <c r="L828" s="3">
        <f t="shared" si="12"/>
        <v>0.16477304161951464</v>
      </c>
    </row>
    <row r="829" spans="1:12" x14ac:dyDescent="0.3">
      <c r="A829" s="5" t="s">
        <v>365</v>
      </c>
      <c r="B829" t="s">
        <v>25</v>
      </c>
      <c r="C829">
        <v>2025</v>
      </c>
      <c r="D829" t="s">
        <v>13</v>
      </c>
      <c r="E829" t="s">
        <v>60</v>
      </c>
      <c r="F829" t="s">
        <v>62</v>
      </c>
      <c r="G829" t="s">
        <v>63</v>
      </c>
      <c r="H829">
        <v>4</v>
      </c>
      <c r="I829">
        <v>3948</v>
      </c>
      <c r="J829">
        <v>18851</v>
      </c>
      <c r="K829">
        <v>549.03</v>
      </c>
      <c r="L829" s="3">
        <f t="shared" si="12"/>
        <v>0.13906534954407293</v>
      </c>
    </row>
    <row r="830" spans="1:12" x14ac:dyDescent="0.3">
      <c r="A830" s="5" t="s">
        <v>212</v>
      </c>
      <c r="B830" t="s">
        <v>41</v>
      </c>
      <c r="C830">
        <v>2025</v>
      </c>
      <c r="D830" t="s">
        <v>23</v>
      </c>
      <c r="E830" t="s">
        <v>49</v>
      </c>
      <c r="F830" t="s">
        <v>19</v>
      </c>
      <c r="G830" t="s">
        <v>20</v>
      </c>
      <c r="H830">
        <v>1</v>
      </c>
      <c r="I830">
        <v>1357</v>
      </c>
      <c r="J830">
        <v>9625</v>
      </c>
      <c r="K830">
        <v>271</v>
      </c>
      <c r="L830" s="3">
        <f t="shared" si="12"/>
        <v>0.19970523212969787</v>
      </c>
    </row>
    <row r="831" spans="1:12" x14ac:dyDescent="0.3">
      <c r="A831" s="5" t="s">
        <v>145</v>
      </c>
      <c r="B831" t="s">
        <v>34</v>
      </c>
      <c r="C831">
        <v>2025</v>
      </c>
      <c r="D831" t="s">
        <v>18</v>
      </c>
      <c r="E831" t="s">
        <v>60</v>
      </c>
      <c r="F831" t="s">
        <v>29</v>
      </c>
      <c r="G831" t="s">
        <v>20</v>
      </c>
      <c r="H831">
        <v>11</v>
      </c>
      <c r="I831">
        <v>4675</v>
      </c>
      <c r="J831">
        <v>8100</v>
      </c>
      <c r="K831">
        <v>1232.02</v>
      </c>
      <c r="L831" s="3">
        <f t="shared" si="12"/>
        <v>0.2635336898395722</v>
      </c>
    </row>
    <row r="832" spans="1:12" x14ac:dyDescent="0.3">
      <c r="A832" s="5" t="s">
        <v>300</v>
      </c>
      <c r="B832" t="s">
        <v>34</v>
      </c>
      <c r="C832">
        <v>2025</v>
      </c>
      <c r="D832" t="s">
        <v>23</v>
      </c>
      <c r="E832" t="s">
        <v>28</v>
      </c>
      <c r="F832" t="s">
        <v>35</v>
      </c>
      <c r="G832" t="s">
        <v>20</v>
      </c>
      <c r="H832">
        <v>16</v>
      </c>
      <c r="I832">
        <v>4160</v>
      </c>
      <c r="J832">
        <v>8205</v>
      </c>
      <c r="K832">
        <v>549.29</v>
      </c>
      <c r="L832" s="3">
        <f t="shared" si="12"/>
        <v>0.13204086538461537</v>
      </c>
    </row>
    <row r="833" spans="1:12" x14ac:dyDescent="0.3">
      <c r="A833" s="5" t="s">
        <v>273</v>
      </c>
      <c r="B833" t="s">
        <v>48</v>
      </c>
      <c r="C833">
        <v>2025</v>
      </c>
      <c r="D833" t="s">
        <v>13</v>
      </c>
      <c r="E833" t="s">
        <v>26</v>
      </c>
      <c r="F833" t="s">
        <v>29</v>
      </c>
      <c r="G833" t="s">
        <v>20</v>
      </c>
      <c r="H833">
        <v>6</v>
      </c>
      <c r="I833">
        <v>1428</v>
      </c>
      <c r="J833">
        <v>6208</v>
      </c>
      <c r="K833">
        <v>293.64</v>
      </c>
      <c r="L833" s="3">
        <f t="shared" si="12"/>
        <v>0.20563025210084032</v>
      </c>
    </row>
    <row r="834" spans="1:12" x14ac:dyDescent="0.3">
      <c r="A834" s="5" t="s">
        <v>53</v>
      </c>
      <c r="B834" t="s">
        <v>39</v>
      </c>
      <c r="C834">
        <v>2025</v>
      </c>
      <c r="D834" t="s">
        <v>18</v>
      </c>
      <c r="E834" t="s">
        <v>14</v>
      </c>
      <c r="F834" t="s">
        <v>42</v>
      </c>
      <c r="G834" t="s">
        <v>20</v>
      </c>
      <c r="H834">
        <v>17</v>
      </c>
      <c r="I834">
        <v>6834</v>
      </c>
      <c r="J834">
        <v>13224</v>
      </c>
      <c r="K834">
        <v>1457.69</v>
      </c>
      <c r="L834" s="3">
        <f t="shared" si="12"/>
        <v>0.21329967808018729</v>
      </c>
    </row>
    <row r="835" spans="1:12" x14ac:dyDescent="0.3">
      <c r="A835" s="5" t="s">
        <v>188</v>
      </c>
      <c r="B835" t="s">
        <v>12</v>
      </c>
      <c r="C835">
        <v>2025</v>
      </c>
      <c r="D835" t="s">
        <v>18</v>
      </c>
      <c r="E835" t="s">
        <v>28</v>
      </c>
      <c r="F835" t="s">
        <v>19</v>
      </c>
      <c r="G835" t="s">
        <v>20</v>
      </c>
      <c r="H835">
        <v>2</v>
      </c>
      <c r="I835">
        <v>1758</v>
      </c>
      <c r="J835">
        <v>9899</v>
      </c>
      <c r="K835">
        <v>408.83</v>
      </c>
      <c r="L835" s="3">
        <f t="shared" ref="L835:L898" si="13">K835/I835</f>
        <v>0.23255403868031854</v>
      </c>
    </row>
    <row r="836" spans="1:12" x14ac:dyDescent="0.3">
      <c r="A836" s="5" t="s">
        <v>359</v>
      </c>
      <c r="B836" t="s">
        <v>31</v>
      </c>
      <c r="C836">
        <v>2025</v>
      </c>
      <c r="D836" t="s">
        <v>32</v>
      </c>
      <c r="E836" t="s">
        <v>14</v>
      </c>
      <c r="F836" t="s">
        <v>15</v>
      </c>
      <c r="G836" t="s">
        <v>16</v>
      </c>
      <c r="H836">
        <v>3</v>
      </c>
      <c r="I836">
        <v>3729</v>
      </c>
      <c r="J836">
        <v>15472</v>
      </c>
      <c r="K836">
        <v>1109.6600000000001</v>
      </c>
      <c r="L836" s="3">
        <f t="shared" si="13"/>
        <v>0.2975757575757576</v>
      </c>
    </row>
    <row r="837" spans="1:12" x14ac:dyDescent="0.3">
      <c r="A837" s="5" t="s">
        <v>316</v>
      </c>
      <c r="B837" t="s">
        <v>45</v>
      </c>
      <c r="C837">
        <v>2025</v>
      </c>
      <c r="D837" t="s">
        <v>32</v>
      </c>
      <c r="E837" t="s">
        <v>26</v>
      </c>
      <c r="F837" t="s">
        <v>35</v>
      </c>
      <c r="G837" t="s">
        <v>20</v>
      </c>
      <c r="H837">
        <v>4</v>
      </c>
      <c r="I837">
        <v>1996</v>
      </c>
      <c r="J837">
        <v>13454</v>
      </c>
      <c r="K837">
        <v>557.97</v>
      </c>
      <c r="L837" s="3">
        <f t="shared" si="13"/>
        <v>0.27954408817635273</v>
      </c>
    </row>
    <row r="838" spans="1:12" x14ac:dyDescent="0.3">
      <c r="A838" s="5" t="s">
        <v>231</v>
      </c>
      <c r="B838" t="s">
        <v>41</v>
      </c>
      <c r="C838">
        <v>2025</v>
      </c>
      <c r="D838" t="s">
        <v>13</v>
      </c>
      <c r="E838" t="s">
        <v>28</v>
      </c>
      <c r="F838" t="s">
        <v>42</v>
      </c>
      <c r="G838" t="s">
        <v>20</v>
      </c>
      <c r="H838">
        <v>16</v>
      </c>
      <c r="I838">
        <v>15072</v>
      </c>
      <c r="J838">
        <v>16794</v>
      </c>
      <c r="K838">
        <v>3610.15</v>
      </c>
      <c r="L838" s="3">
        <f t="shared" si="13"/>
        <v>0.23952693736730363</v>
      </c>
    </row>
    <row r="839" spans="1:12" x14ac:dyDescent="0.3">
      <c r="A839" s="5" t="s">
        <v>90</v>
      </c>
      <c r="B839" t="s">
        <v>57</v>
      </c>
      <c r="C839">
        <v>2025</v>
      </c>
      <c r="D839" t="s">
        <v>13</v>
      </c>
      <c r="E839" t="s">
        <v>26</v>
      </c>
      <c r="F839" t="s">
        <v>62</v>
      </c>
      <c r="G839" t="s">
        <v>63</v>
      </c>
      <c r="H839">
        <v>3</v>
      </c>
      <c r="I839">
        <v>3684</v>
      </c>
      <c r="J839">
        <v>19912</v>
      </c>
      <c r="K839">
        <v>925.24</v>
      </c>
      <c r="L839" s="3">
        <f t="shared" si="13"/>
        <v>0.25115092290988056</v>
      </c>
    </row>
    <row r="840" spans="1:12" x14ac:dyDescent="0.3">
      <c r="A840" s="5" t="s">
        <v>352</v>
      </c>
      <c r="B840" t="s">
        <v>22</v>
      </c>
      <c r="C840">
        <v>2025</v>
      </c>
      <c r="D840" t="s">
        <v>18</v>
      </c>
      <c r="E840" t="s">
        <v>14</v>
      </c>
      <c r="F840" t="s">
        <v>42</v>
      </c>
      <c r="G840" t="s">
        <v>20</v>
      </c>
      <c r="H840">
        <v>18</v>
      </c>
      <c r="I840">
        <v>12852</v>
      </c>
      <c r="J840">
        <v>17747</v>
      </c>
      <c r="K840">
        <v>2360.16</v>
      </c>
      <c r="L840" s="3">
        <f t="shared" si="13"/>
        <v>0.18364145658263303</v>
      </c>
    </row>
    <row r="841" spans="1:12" x14ac:dyDescent="0.3">
      <c r="A841" s="5" t="s">
        <v>263</v>
      </c>
      <c r="B841" t="s">
        <v>45</v>
      </c>
      <c r="C841">
        <v>2025</v>
      </c>
      <c r="D841" t="s">
        <v>23</v>
      </c>
      <c r="E841" t="s">
        <v>60</v>
      </c>
      <c r="F841" t="s">
        <v>42</v>
      </c>
      <c r="G841" t="s">
        <v>20</v>
      </c>
      <c r="H841">
        <v>9</v>
      </c>
      <c r="I841">
        <v>11862</v>
      </c>
      <c r="J841">
        <v>14334</v>
      </c>
      <c r="K841">
        <v>3488.82</v>
      </c>
      <c r="L841" s="3">
        <f t="shared" si="13"/>
        <v>0.29411734951947399</v>
      </c>
    </row>
    <row r="842" spans="1:12" x14ac:dyDescent="0.3">
      <c r="A842" s="5" t="s">
        <v>94</v>
      </c>
      <c r="B842" t="s">
        <v>22</v>
      </c>
      <c r="C842">
        <v>2025</v>
      </c>
      <c r="D842" t="s">
        <v>18</v>
      </c>
      <c r="E842" t="s">
        <v>14</v>
      </c>
      <c r="F842" t="s">
        <v>42</v>
      </c>
      <c r="G842" t="s">
        <v>20</v>
      </c>
      <c r="H842">
        <v>18</v>
      </c>
      <c r="I842">
        <v>22104</v>
      </c>
      <c r="J842">
        <v>17968</v>
      </c>
      <c r="K842">
        <v>3548.8</v>
      </c>
      <c r="L842" s="3">
        <f t="shared" si="13"/>
        <v>0.1605501266739052</v>
      </c>
    </row>
    <row r="843" spans="1:12" x14ac:dyDescent="0.3">
      <c r="A843" s="5" t="s">
        <v>250</v>
      </c>
      <c r="B843" t="s">
        <v>57</v>
      </c>
      <c r="C843">
        <v>2025</v>
      </c>
      <c r="D843" t="s">
        <v>23</v>
      </c>
      <c r="E843" t="s">
        <v>49</v>
      </c>
      <c r="F843" t="s">
        <v>35</v>
      </c>
      <c r="G843" t="s">
        <v>20</v>
      </c>
      <c r="H843">
        <v>5</v>
      </c>
      <c r="I843">
        <v>7450</v>
      </c>
      <c r="J843">
        <v>19149</v>
      </c>
      <c r="K843">
        <v>1029.48</v>
      </c>
      <c r="L843" s="3">
        <f t="shared" si="13"/>
        <v>0.13818523489932885</v>
      </c>
    </row>
    <row r="844" spans="1:12" x14ac:dyDescent="0.3">
      <c r="A844" s="5" t="s">
        <v>373</v>
      </c>
      <c r="B844" t="s">
        <v>34</v>
      </c>
      <c r="C844">
        <v>2025</v>
      </c>
      <c r="D844" t="s">
        <v>18</v>
      </c>
      <c r="E844" t="s">
        <v>28</v>
      </c>
      <c r="F844" t="s">
        <v>42</v>
      </c>
      <c r="G844" t="s">
        <v>20</v>
      </c>
      <c r="H844">
        <v>1</v>
      </c>
      <c r="I844">
        <v>639</v>
      </c>
      <c r="J844">
        <v>6002</v>
      </c>
      <c r="K844">
        <v>69.17</v>
      </c>
      <c r="L844" s="3">
        <f t="shared" si="13"/>
        <v>0.1082472613458529</v>
      </c>
    </row>
    <row r="845" spans="1:12" x14ac:dyDescent="0.3">
      <c r="A845" s="5" t="s">
        <v>67</v>
      </c>
      <c r="B845" t="s">
        <v>22</v>
      </c>
      <c r="C845">
        <v>2025</v>
      </c>
      <c r="D845" t="s">
        <v>32</v>
      </c>
      <c r="E845" t="s">
        <v>49</v>
      </c>
      <c r="F845" t="s">
        <v>42</v>
      </c>
      <c r="G845" t="s">
        <v>20</v>
      </c>
      <c r="H845">
        <v>4</v>
      </c>
      <c r="I845">
        <v>2476</v>
      </c>
      <c r="J845">
        <v>9596</v>
      </c>
      <c r="K845">
        <v>668.9</v>
      </c>
      <c r="L845" s="3">
        <f t="shared" si="13"/>
        <v>0.27015347334410339</v>
      </c>
    </row>
    <row r="846" spans="1:12" x14ac:dyDescent="0.3">
      <c r="A846" s="5" t="s">
        <v>374</v>
      </c>
      <c r="B846" t="s">
        <v>22</v>
      </c>
      <c r="C846">
        <v>2025</v>
      </c>
      <c r="D846" t="s">
        <v>32</v>
      </c>
      <c r="E846" t="s">
        <v>49</v>
      </c>
      <c r="F846" t="s">
        <v>62</v>
      </c>
      <c r="G846" t="s">
        <v>63</v>
      </c>
      <c r="H846">
        <v>14</v>
      </c>
      <c r="I846">
        <v>5334</v>
      </c>
      <c r="J846">
        <v>8311</v>
      </c>
      <c r="K846">
        <v>994</v>
      </c>
      <c r="L846" s="3">
        <f t="shared" si="13"/>
        <v>0.18635170603674542</v>
      </c>
    </row>
    <row r="847" spans="1:12" x14ac:dyDescent="0.3">
      <c r="A847" s="5" t="s">
        <v>96</v>
      </c>
      <c r="B847" t="s">
        <v>57</v>
      </c>
      <c r="C847">
        <v>2025</v>
      </c>
      <c r="D847" t="s">
        <v>13</v>
      </c>
      <c r="E847" t="s">
        <v>26</v>
      </c>
      <c r="F847" t="s">
        <v>62</v>
      </c>
      <c r="G847" t="s">
        <v>63</v>
      </c>
      <c r="H847">
        <v>2</v>
      </c>
      <c r="I847">
        <v>588</v>
      </c>
      <c r="J847">
        <v>19168</v>
      </c>
      <c r="K847">
        <v>96.94</v>
      </c>
      <c r="L847" s="3">
        <f t="shared" si="13"/>
        <v>0.16486394557823128</v>
      </c>
    </row>
    <row r="848" spans="1:12" x14ac:dyDescent="0.3">
      <c r="A848" s="5" t="s">
        <v>306</v>
      </c>
      <c r="B848" t="s">
        <v>37</v>
      </c>
      <c r="C848">
        <v>2025</v>
      </c>
      <c r="D848" t="s">
        <v>32</v>
      </c>
      <c r="E848" t="s">
        <v>26</v>
      </c>
      <c r="F848" t="s">
        <v>29</v>
      </c>
      <c r="G848" t="s">
        <v>20</v>
      </c>
      <c r="H848">
        <v>2</v>
      </c>
      <c r="I848">
        <v>694</v>
      </c>
      <c r="J848">
        <v>13511</v>
      </c>
      <c r="K848">
        <v>148.47999999999999</v>
      </c>
      <c r="L848" s="3">
        <f t="shared" si="13"/>
        <v>0.21394812680115272</v>
      </c>
    </row>
    <row r="849" spans="1:12" x14ac:dyDescent="0.3">
      <c r="A849" s="5" t="s">
        <v>375</v>
      </c>
      <c r="B849" t="s">
        <v>22</v>
      </c>
      <c r="C849">
        <v>2025</v>
      </c>
      <c r="D849" t="s">
        <v>18</v>
      </c>
      <c r="E849" t="s">
        <v>60</v>
      </c>
      <c r="F849" t="s">
        <v>42</v>
      </c>
      <c r="G849" t="s">
        <v>20</v>
      </c>
      <c r="H849">
        <v>9</v>
      </c>
      <c r="I849">
        <v>7731</v>
      </c>
      <c r="J849">
        <v>9268</v>
      </c>
      <c r="K849">
        <v>1895.3</v>
      </c>
      <c r="L849" s="3">
        <f t="shared" si="13"/>
        <v>0.24515586599404993</v>
      </c>
    </row>
    <row r="850" spans="1:12" x14ac:dyDescent="0.3">
      <c r="A850" s="5" t="s">
        <v>102</v>
      </c>
      <c r="B850" t="s">
        <v>57</v>
      </c>
      <c r="C850">
        <v>2025</v>
      </c>
      <c r="D850" t="s">
        <v>13</v>
      </c>
      <c r="E850" t="s">
        <v>14</v>
      </c>
      <c r="F850" t="s">
        <v>62</v>
      </c>
      <c r="G850" t="s">
        <v>63</v>
      </c>
      <c r="H850">
        <v>3</v>
      </c>
      <c r="I850">
        <v>1104</v>
      </c>
      <c r="J850">
        <v>17148</v>
      </c>
      <c r="K850">
        <v>115.83</v>
      </c>
      <c r="L850" s="3">
        <f t="shared" si="13"/>
        <v>0.10491847826086956</v>
      </c>
    </row>
    <row r="851" spans="1:12" x14ac:dyDescent="0.3">
      <c r="A851" s="5" t="s">
        <v>244</v>
      </c>
      <c r="B851" t="s">
        <v>25</v>
      </c>
      <c r="C851">
        <v>2025</v>
      </c>
      <c r="D851" t="s">
        <v>13</v>
      </c>
      <c r="E851" t="s">
        <v>49</v>
      </c>
      <c r="F851" t="s">
        <v>35</v>
      </c>
      <c r="G851" t="s">
        <v>20</v>
      </c>
      <c r="H851">
        <v>3</v>
      </c>
      <c r="I851">
        <v>1890</v>
      </c>
      <c r="J851">
        <v>12128</v>
      </c>
      <c r="K851">
        <v>534.47</v>
      </c>
      <c r="L851" s="3">
        <f t="shared" si="13"/>
        <v>0.28278835978835981</v>
      </c>
    </row>
    <row r="852" spans="1:12" x14ac:dyDescent="0.3">
      <c r="A852" s="5" t="s">
        <v>200</v>
      </c>
      <c r="B852" t="s">
        <v>31</v>
      </c>
      <c r="C852">
        <v>2025</v>
      </c>
      <c r="D852" t="s">
        <v>23</v>
      </c>
      <c r="E852" t="s">
        <v>49</v>
      </c>
      <c r="F852" t="s">
        <v>29</v>
      </c>
      <c r="G852" t="s">
        <v>20</v>
      </c>
      <c r="H852">
        <v>16</v>
      </c>
      <c r="I852">
        <v>10960</v>
      </c>
      <c r="J852">
        <v>17047</v>
      </c>
      <c r="K852">
        <v>2741.21</v>
      </c>
      <c r="L852" s="3">
        <f t="shared" si="13"/>
        <v>0.25011040145985403</v>
      </c>
    </row>
    <row r="853" spans="1:12" x14ac:dyDescent="0.3">
      <c r="A853" s="5" t="s">
        <v>316</v>
      </c>
      <c r="B853" t="s">
        <v>45</v>
      </c>
      <c r="C853">
        <v>2025</v>
      </c>
      <c r="D853" t="s">
        <v>23</v>
      </c>
      <c r="E853" t="s">
        <v>26</v>
      </c>
      <c r="F853" t="s">
        <v>35</v>
      </c>
      <c r="G853" t="s">
        <v>20</v>
      </c>
      <c r="H853">
        <v>3</v>
      </c>
      <c r="I853">
        <v>2517</v>
      </c>
      <c r="J853">
        <v>15236</v>
      </c>
      <c r="K853">
        <v>446.42</v>
      </c>
      <c r="L853" s="3">
        <f t="shared" si="13"/>
        <v>0.17736193881605086</v>
      </c>
    </row>
    <row r="854" spans="1:12" x14ac:dyDescent="0.3">
      <c r="A854" s="5" t="s">
        <v>376</v>
      </c>
      <c r="B854" t="s">
        <v>57</v>
      </c>
      <c r="C854">
        <v>2025</v>
      </c>
      <c r="D854" t="s">
        <v>18</v>
      </c>
      <c r="E854" t="s">
        <v>49</v>
      </c>
      <c r="F854" t="s">
        <v>19</v>
      </c>
      <c r="G854" t="s">
        <v>20</v>
      </c>
      <c r="H854">
        <v>13</v>
      </c>
      <c r="I854">
        <v>3731</v>
      </c>
      <c r="J854">
        <v>12750</v>
      </c>
      <c r="K854">
        <v>396.04</v>
      </c>
      <c r="L854" s="3">
        <f t="shared" si="13"/>
        <v>0.10614848566068079</v>
      </c>
    </row>
    <row r="855" spans="1:12" x14ac:dyDescent="0.3">
      <c r="A855" s="5" t="s">
        <v>114</v>
      </c>
      <c r="B855" t="s">
        <v>22</v>
      </c>
      <c r="C855">
        <v>2025</v>
      </c>
      <c r="D855" t="s">
        <v>13</v>
      </c>
      <c r="E855" t="s">
        <v>26</v>
      </c>
      <c r="F855" t="s">
        <v>42</v>
      </c>
      <c r="G855" t="s">
        <v>20</v>
      </c>
      <c r="H855">
        <v>9</v>
      </c>
      <c r="I855">
        <v>5445</v>
      </c>
      <c r="J855">
        <v>10473</v>
      </c>
      <c r="K855">
        <v>1025.53</v>
      </c>
      <c r="L855" s="3">
        <f t="shared" si="13"/>
        <v>0.18834343434343434</v>
      </c>
    </row>
    <row r="856" spans="1:12" x14ac:dyDescent="0.3">
      <c r="A856" s="5" t="s">
        <v>122</v>
      </c>
      <c r="B856" t="s">
        <v>34</v>
      </c>
      <c r="C856">
        <v>2025</v>
      </c>
      <c r="D856" t="s">
        <v>18</v>
      </c>
      <c r="E856" t="s">
        <v>26</v>
      </c>
      <c r="F856" t="s">
        <v>35</v>
      </c>
      <c r="G856" t="s">
        <v>20</v>
      </c>
      <c r="H856">
        <v>5</v>
      </c>
      <c r="I856">
        <v>5345</v>
      </c>
      <c r="J856">
        <v>14774</v>
      </c>
      <c r="K856">
        <v>754.55</v>
      </c>
      <c r="L856" s="3">
        <f t="shared" si="13"/>
        <v>0.14116931711880262</v>
      </c>
    </row>
    <row r="857" spans="1:12" x14ac:dyDescent="0.3">
      <c r="A857" s="5" t="s">
        <v>257</v>
      </c>
      <c r="B857" t="s">
        <v>85</v>
      </c>
      <c r="C857">
        <v>2025</v>
      </c>
      <c r="D857" t="s">
        <v>13</v>
      </c>
      <c r="E857" t="s">
        <v>49</v>
      </c>
      <c r="F857" t="s">
        <v>35</v>
      </c>
      <c r="G857" t="s">
        <v>20</v>
      </c>
      <c r="H857">
        <v>17</v>
      </c>
      <c r="I857">
        <v>16558</v>
      </c>
      <c r="J857">
        <v>10502</v>
      </c>
      <c r="K857">
        <v>2875.09</v>
      </c>
      <c r="L857" s="3">
        <f t="shared" si="13"/>
        <v>0.17363751660828602</v>
      </c>
    </row>
    <row r="858" spans="1:12" x14ac:dyDescent="0.3">
      <c r="A858" s="5" t="s">
        <v>47</v>
      </c>
      <c r="B858" t="s">
        <v>48</v>
      </c>
      <c r="C858">
        <v>2025</v>
      </c>
      <c r="D858" t="s">
        <v>18</v>
      </c>
      <c r="E858" t="s">
        <v>60</v>
      </c>
      <c r="F858" t="s">
        <v>62</v>
      </c>
      <c r="G858" t="s">
        <v>63</v>
      </c>
      <c r="H858">
        <v>7</v>
      </c>
      <c r="I858">
        <v>1309</v>
      </c>
      <c r="J858">
        <v>18446</v>
      </c>
      <c r="K858">
        <v>175.66</v>
      </c>
      <c r="L858" s="3">
        <f t="shared" si="13"/>
        <v>0.13419404125286477</v>
      </c>
    </row>
    <row r="859" spans="1:12" x14ac:dyDescent="0.3">
      <c r="A859" s="5" t="s">
        <v>239</v>
      </c>
      <c r="B859" t="s">
        <v>37</v>
      </c>
      <c r="C859">
        <v>2025</v>
      </c>
      <c r="D859" t="s">
        <v>32</v>
      </c>
      <c r="E859" t="s">
        <v>26</v>
      </c>
      <c r="F859" t="s">
        <v>29</v>
      </c>
      <c r="G859" t="s">
        <v>20</v>
      </c>
      <c r="H859">
        <v>8</v>
      </c>
      <c r="I859">
        <v>9128</v>
      </c>
      <c r="J859">
        <v>7805</v>
      </c>
      <c r="K859">
        <v>1334.67</v>
      </c>
      <c r="L859" s="3">
        <f t="shared" si="13"/>
        <v>0.14621713409290096</v>
      </c>
    </row>
    <row r="860" spans="1:12" x14ac:dyDescent="0.3">
      <c r="A860" s="5" t="s">
        <v>11</v>
      </c>
      <c r="B860" t="s">
        <v>12</v>
      </c>
      <c r="C860">
        <v>2025</v>
      </c>
      <c r="D860" t="s">
        <v>23</v>
      </c>
      <c r="E860" t="s">
        <v>28</v>
      </c>
      <c r="F860" t="s">
        <v>62</v>
      </c>
      <c r="G860" t="s">
        <v>63</v>
      </c>
      <c r="H860">
        <v>5</v>
      </c>
      <c r="I860">
        <v>4970</v>
      </c>
      <c r="J860">
        <v>8541</v>
      </c>
      <c r="K860">
        <v>1020.52</v>
      </c>
      <c r="L860" s="3">
        <f t="shared" si="13"/>
        <v>0.20533601609657948</v>
      </c>
    </row>
    <row r="861" spans="1:12" x14ac:dyDescent="0.3">
      <c r="A861" s="5" t="s">
        <v>377</v>
      </c>
      <c r="B861" t="s">
        <v>41</v>
      </c>
      <c r="C861">
        <v>2025</v>
      </c>
      <c r="D861" t="s">
        <v>13</v>
      </c>
      <c r="E861" t="s">
        <v>14</v>
      </c>
      <c r="F861" t="s">
        <v>15</v>
      </c>
      <c r="G861" t="s">
        <v>16</v>
      </c>
      <c r="H861">
        <v>5</v>
      </c>
      <c r="I861">
        <v>6170</v>
      </c>
      <c r="J861">
        <v>6016</v>
      </c>
      <c r="K861">
        <v>1072.06</v>
      </c>
      <c r="L861" s="3">
        <f t="shared" si="13"/>
        <v>0.17375364667747162</v>
      </c>
    </row>
    <row r="862" spans="1:12" x14ac:dyDescent="0.3">
      <c r="A862" s="5" t="s">
        <v>237</v>
      </c>
      <c r="B862" t="s">
        <v>39</v>
      </c>
      <c r="C862">
        <v>2025</v>
      </c>
      <c r="D862" t="s">
        <v>23</v>
      </c>
      <c r="E862" t="s">
        <v>60</v>
      </c>
      <c r="F862" t="s">
        <v>35</v>
      </c>
      <c r="G862" t="s">
        <v>20</v>
      </c>
      <c r="H862">
        <v>17</v>
      </c>
      <c r="I862">
        <v>3774</v>
      </c>
      <c r="J862">
        <v>17142</v>
      </c>
      <c r="K862">
        <v>392.83</v>
      </c>
      <c r="L862" s="3">
        <f t="shared" si="13"/>
        <v>0.10408850026497085</v>
      </c>
    </row>
    <row r="863" spans="1:12" x14ac:dyDescent="0.3">
      <c r="A863" s="5" t="s">
        <v>96</v>
      </c>
      <c r="B863" t="s">
        <v>57</v>
      </c>
      <c r="C863">
        <v>2025</v>
      </c>
      <c r="D863" t="s">
        <v>32</v>
      </c>
      <c r="E863" t="s">
        <v>28</v>
      </c>
      <c r="F863" t="s">
        <v>15</v>
      </c>
      <c r="G863" t="s">
        <v>16</v>
      </c>
      <c r="H863">
        <v>5</v>
      </c>
      <c r="I863">
        <v>5240</v>
      </c>
      <c r="J863">
        <v>5189</v>
      </c>
      <c r="K863">
        <v>925.79</v>
      </c>
      <c r="L863" s="3">
        <f t="shared" si="13"/>
        <v>0.17667748091603053</v>
      </c>
    </row>
    <row r="864" spans="1:12" x14ac:dyDescent="0.3">
      <c r="A864" s="5" t="s">
        <v>375</v>
      </c>
      <c r="B864" t="s">
        <v>22</v>
      </c>
      <c r="C864">
        <v>2025</v>
      </c>
      <c r="D864" t="s">
        <v>23</v>
      </c>
      <c r="E864" t="s">
        <v>28</v>
      </c>
      <c r="F864" t="s">
        <v>62</v>
      </c>
      <c r="G864" t="s">
        <v>63</v>
      </c>
      <c r="H864">
        <v>11</v>
      </c>
      <c r="I864">
        <v>13046</v>
      </c>
      <c r="J864">
        <v>14143</v>
      </c>
      <c r="K864">
        <v>2772.66</v>
      </c>
      <c r="L864" s="3">
        <f t="shared" si="13"/>
        <v>0.21252951096121414</v>
      </c>
    </row>
    <row r="865" spans="1:12" x14ac:dyDescent="0.3">
      <c r="A865" s="5" t="s">
        <v>344</v>
      </c>
      <c r="B865" t="s">
        <v>41</v>
      </c>
      <c r="C865">
        <v>2025</v>
      </c>
      <c r="D865" t="s">
        <v>18</v>
      </c>
      <c r="E865" t="s">
        <v>60</v>
      </c>
      <c r="F865" t="s">
        <v>19</v>
      </c>
      <c r="G865" t="s">
        <v>20</v>
      </c>
      <c r="H865">
        <v>13</v>
      </c>
      <c r="I865">
        <v>5252</v>
      </c>
      <c r="J865">
        <v>12173</v>
      </c>
      <c r="K865">
        <v>1358.97</v>
      </c>
      <c r="L865" s="3">
        <f t="shared" si="13"/>
        <v>0.25875285605483628</v>
      </c>
    </row>
    <row r="866" spans="1:12" x14ac:dyDescent="0.3">
      <c r="A866" s="5" t="s">
        <v>66</v>
      </c>
      <c r="B866" t="s">
        <v>12</v>
      </c>
      <c r="C866">
        <v>2025</v>
      </c>
      <c r="D866" t="s">
        <v>13</v>
      </c>
      <c r="E866" t="s">
        <v>60</v>
      </c>
      <c r="F866" t="s">
        <v>29</v>
      </c>
      <c r="G866" t="s">
        <v>20</v>
      </c>
      <c r="H866">
        <v>3</v>
      </c>
      <c r="I866">
        <v>1026</v>
      </c>
      <c r="J866">
        <v>10420</v>
      </c>
      <c r="K866">
        <v>240.38</v>
      </c>
      <c r="L866" s="3">
        <f t="shared" si="13"/>
        <v>0.23428849902534113</v>
      </c>
    </row>
    <row r="867" spans="1:12" x14ac:dyDescent="0.3">
      <c r="A867" s="5" t="s">
        <v>172</v>
      </c>
      <c r="B867" t="s">
        <v>22</v>
      </c>
      <c r="C867">
        <v>2025</v>
      </c>
      <c r="D867" t="s">
        <v>18</v>
      </c>
      <c r="E867" t="s">
        <v>14</v>
      </c>
      <c r="F867" t="s">
        <v>15</v>
      </c>
      <c r="G867" t="s">
        <v>16</v>
      </c>
      <c r="H867">
        <v>13</v>
      </c>
      <c r="I867">
        <v>11180</v>
      </c>
      <c r="J867">
        <v>11124</v>
      </c>
      <c r="K867">
        <v>2274.34</v>
      </c>
      <c r="L867" s="3">
        <f t="shared" si="13"/>
        <v>0.20342933810375671</v>
      </c>
    </row>
    <row r="868" spans="1:12" x14ac:dyDescent="0.3">
      <c r="A868" s="5" t="s">
        <v>80</v>
      </c>
      <c r="B868" t="s">
        <v>48</v>
      </c>
      <c r="C868">
        <v>2025</v>
      </c>
      <c r="D868" t="s">
        <v>18</v>
      </c>
      <c r="E868" t="s">
        <v>26</v>
      </c>
      <c r="F868" t="s">
        <v>35</v>
      </c>
      <c r="G868" t="s">
        <v>20</v>
      </c>
      <c r="H868">
        <v>17</v>
      </c>
      <c r="I868">
        <v>22627</v>
      </c>
      <c r="J868">
        <v>17755</v>
      </c>
      <c r="K868">
        <v>5878.3</v>
      </c>
      <c r="L868" s="3">
        <f t="shared" si="13"/>
        <v>0.25979139965527909</v>
      </c>
    </row>
    <row r="869" spans="1:12" x14ac:dyDescent="0.3">
      <c r="A869" s="5" t="s">
        <v>292</v>
      </c>
      <c r="B869" t="s">
        <v>41</v>
      </c>
      <c r="C869">
        <v>2025</v>
      </c>
      <c r="D869" t="s">
        <v>32</v>
      </c>
      <c r="E869" t="s">
        <v>60</v>
      </c>
      <c r="F869" t="s">
        <v>15</v>
      </c>
      <c r="G869" t="s">
        <v>16</v>
      </c>
      <c r="H869">
        <v>3</v>
      </c>
      <c r="I869">
        <v>3459</v>
      </c>
      <c r="J869">
        <v>15437</v>
      </c>
      <c r="K869">
        <v>899.72</v>
      </c>
      <c r="L869" s="3">
        <f t="shared" si="13"/>
        <v>0.26010985834056088</v>
      </c>
    </row>
    <row r="870" spans="1:12" x14ac:dyDescent="0.3">
      <c r="A870" s="5" t="s">
        <v>149</v>
      </c>
      <c r="B870" t="s">
        <v>41</v>
      </c>
      <c r="C870">
        <v>2025</v>
      </c>
      <c r="D870" t="s">
        <v>23</v>
      </c>
      <c r="E870" t="s">
        <v>60</v>
      </c>
      <c r="F870" t="s">
        <v>29</v>
      </c>
      <c r="G870" t="s">
        <v>20</v>
      </c>
      <c r="H870">
        <v>7</v>
      </c>
      <c r="I870">
        <v>7630</v>
      </c>
      <c r="J870">
        <v>8347</v>
      </c>
      <c r="K870">
        <v>1514.21</v>
      </c>
      <c r="L870" s="3">
        <f t="shared" si="13"/>
        <v>0.19845478374836173</v>
      </c>
    </row>
    <row r="871" spans="1:12" x14ac:dyDescent="0.3">
      <c r="A871" s="5" t="s">
        <v>100</v>
      </c>
      <c r="B871" t="s">
        <v>39</v>
      </c>
      <c r="C871">
        <v>2025</v>
      </c>
      <c r="D871" t="s">
        <v>23</v>
      </c>
      <c r="E871" t="s">
        <v>26</v>
      </c>
      <c r="F871" t="s">
        <v>29</v>
      </c>
      <c r="G871" t="s">
        <v>20</v>
      </c>
      <c r="H871">
        <v>9</v>
      </c>
      <c r="I871">
        <v>3798</v>
      </c>
      <c r="J871">
        <v>15234</v>
      </c>
      <c r="K871">
        <v>926.93</v>
      </c>
      <c r="L871" s="3">
        <f t="shared" si="13"/>
        <v>0.24405739863085835</v>
      </c>
    </row>
    <row r="872" spans="1:12" x14ac:dyDescent="0.3">
      <c r="A872" s="5" t="s">
        <v>183</v>
      </c>
      <c r="B872" t="s">
        <v>31</v>
      </c>
      <c r="C872">
        <v>2025</v>
      </c>
      <c r="D872" t="s">
        <v>32</v>
      </c>
      <c r="E872" t="s">
        <v>14</v>
      </c>
      <c r="F872" t="s">
        <v>29</v>
      </c>
      <c r="G872" t="s">
        <v>20</v>
      </c>
      <c r="H872">
        <v>15</v>
      </c>
      <c r="I872">
        <v>10515</v>
      </c>
      <c r="J872">
        <v>5044</v>
      </c>
      <c r="K872">
        <v>2465.5500000000002</v>
      </c>
      <c r="L872" s="3">
        <f t="shared" si="13"/>
        <v>0.23447931526390872</v>
      </c>
    </row>
    <row r="873" spans="1:12" x14ac:dyDescent="0.3">
      <c r="A873" s="5" t="s">
        <v>305</v>
      </c>
      <c r="B873" t="s">
        <v>37</v>
      </c>
      <c r="C873">
        <v>2025</v>
      </c>
      <c r="D873" t="s">
        <v>32</v>
      </c>
      <c r="E873" t="s">
        <v>49</v>
      </c>
      <c r="F873" t="s">
        <v>15</v>
      </c>
      <c r="G873" t="s">
        <v>16</v>
      </c>
      <c r="H873">
        <v>18</v>
      </c>
      <c r="I873">
        <v>21186</v>
      </c>
      <c r="J873">
        <v>15214</v>
      </c>
      <c r="K873">
        <v>3275.1</v>
      </c>
      <c r="L873" s="3">
        <f t="shared" si="13"/>
        <v>0.15458793542905691</v>
      </c>
    </row>
    <row r="874" spans="1:12" x14ac:dyDescent="0.3">
      <c r="A874" s="5" t="s">
        <v>231</v>
      </c>
      <c r="B874" t="s">
        <v>41</v>
      </c>
      <c r="C874">
        <v>2025</v>
      </c>
      <c r="D874" t="s">
        <v>18</v>
      </c>
      <c r="E874" t="s">
        <v>28</v>
      </c>
      <c r="F874" t="s">
        <v>19</v>
      </c>
      <c r="G874" t="s">
        <v>20</v>
      </c>
      <c r="H874">
        <v>5</v>
      </c>
      <c r="I874">
        <v>1165</v>
      </c>
      <c r="J874">
        <v>7935</v>
      </c>
      <c r="K874">
        <v>216.64</v>
      </c>
      <c r="L874" s="3">
        <f t="shared" si="13"/>
        <v>0.18595708154506438</v>
      </c>
    </row>
    <row r="875" spans="1:12" x14ac:dyDescent="0.3">
      <c r="A875" s="5" t="s">
        <v>17</v>
      </c>
      <c r="B875" t="s">
        <v>12</v>
      </c>
      <c r="C875">
        <v>2025</v>
      </c>
      <c r="D875" t="s">
        <v>32</v>
      </c>
      <c r="E875" t="s">
        <v>14</v>
      </c>
      <c r="F875" t="s">
        <v>62</v>
      </c>
      <c r="G875" t="s">
        <v>63</v>
      </c>
      <c r="H875">
        <v>3</v>
      </c>
      <c r="I875">
        <v>1044</v>
      </c>
      <c r="J875">
        <v>7046</v>
      </c>
      <c r="K875">
        <v>239.77</v>
      </c>
      <c r="L875" s="3">
        <f t="shared" si="13"/>
        <v>0.22966475095785441</v>
      </c>
    </row>
    <row r="876" spans="1:12" x14ac:dyDescent="0.3">
      <c r="A876" s="5" t="s">
        <v>325</v>
      </c>
      <c r="B876" t="s">
        <v>22</v>
      </c>
      <c r="C876">
        <v>2025</v>
      </c>
      <c r="D876" t="s">
        <v>32</v>
      </c>
      <c r="E876" t="s">
        <v>60</v>
      </c>
      <c r="F876" t="s">
        <v>19</v>
      </c>
      <c r="G876" t="s">
        <v>20</v>
      </c>
      <c r="H876">
        <v>20</v>
      </c>
      <c r="I876">
        <v>2140</v>
      </c>
      <c r="J876">
        <v>8911</v>
      </c>
      <c r="K876">
        <v>467.08</v>
      </c>
      <c r="L876" s="3">
        <f t="shared" si="13"/>
        <v>0.21826168224299064</v>
      </c>
    </row>
    <row r="877" spans="1:12" x14ac:dyDescent="0.3">
      <c r="A877" s="5" t="s">
        <v>150</v>
      </c>
      <c r="B877" t="s">
        <v>25</v>
      </c>
      <c r="C877">
        <v>2025</v>
      </c>
      <c r="D877" t="s">
        <v>13</v>
      </c>
      <c r="E877" t="s">
        <v>49</v>
      </c>
      <c r="F877" t="s">
        <v>35</v>
      </c>
      <c r="G877" t="s">
        <v>20</v>
      </c>
      <c r="H877">
        <v>7</v>
      </c>
      <c r="I877">
        <v>8946</v>
      </c>
      <c r="J877">
        <v>13739</v>
      </c>
      <c r="K877">
        <v>2012.9</v>
      </c>
      <c r="L877" s="3">
        <f t="shared" si="13"/>
        <v>0.22500558909009613</v>
      </c>
    </row>
    <row r="878" spans="1:12" x14ac:dyDescent="0.3">
      <c r="A878" s="5" t="s">
        <v>311</v>
      </c>
      <c r="B878" t="s">
        <v>45</v>
      </c>
      <c r="C878">
        <v>2025</v>
      </c>
      <c r="D878" t="s">
        <v>23</v>
      </c>
      <c r="E878" t="s">
        <v>28</v>
      </c>
      <c r="F878" t="s">
        <v>29</v>
      </c>
      <c r="G878" t="s">
        <v>20</v>
      </c>
      <c r="H878">
        <v>16</v>
      </c>
      <c r="I878">
        <v>20416</v>
      </c>
      <c r="J878">
        <v>13458</v>
      </c>
      <c r="K878">
        <v>4729.29</v>
      </c>
      <c r="L878" s="3">
        <f t="shared" si="13"/>
        <v>0.23164625783699058</v>
      </c>
    </row>
    <row r="879" spans="1:12" x14ac:dyDescent="0.3">
      <c r="A879" s="5" t="s">
        <v>227</v>
      </c>
      <c r="B879" t="s">
        <v>85</v>
      </c>
      <c r="C879">
        <v>2025</v>
      </c>
      <c r="D879" t="s">
        <v>18</v>
      </c>
      <c r="E879" t="s">
        <v>60</v>
      </c>
      <c r="F879" t="s">
        <v>42</v>
      </c>
      <c r="G879" t="s">
        <v>20</v>
      </c>
      <c r="H879">
        <v>18</v>
      </c>
      <c r="I879">
        <v>20322</v>
      </c>
      <c r="J879">
        <v>8936</v>
      </c>
      <c r="K879">
        <v>3392.29</v>
      </c>
      <c r="L879" s="3">
        <f t="shared" si="13"/>
        <v>0.16692697569136897</v>
      </c>
    </row>
    <row r="880" spans="1:12" x14ac:dyDescent="0.3">
      <c r="A880" s="5" t="s">
        <v>230</v>
      </c>
      <c r="B880" t="s">
        <v>41</v>
      </c>
      <c r="C880">
        <v>2025</v>
      </c>
      <c r="D880" t="s">
        <v>13</v>
      </c>
      <c r="E880" t="s">
        <v>49</v>
      </c>
      <c r="F880" t="s">
        <v>15</v>
      </c>
      <c r="G880" t="s">
        <v>16</v>
      </c>
      <c r="H880">
        <v>19</v>
      </c>
      <c r="I880">
        <v>11818</v>
      </c>
      <c r="J880">
        <v>13027</v>
      </c>
      <c r="K880">
        <v>1960.99</v>
      </c>
      <c r="L880" s="3">
        <f t="shared" si="13"/>
        <v>0.16593247588424437</v>
      </c>
    </row>
    <row r="881" spans="1:12" x14ac:dyDescent="0.3">
      <c r="A881" s="5" t="s">
        <v>364</v>
      </c>
      <c r="B881" t="s">
        <v>39</v>
      </c>
      <c r="C881">
        <v>2025</v>
      </c>
      <c r="D881" t="s">
        <v>32</v>
      </c>
      <c r="E881" t="s">
        <v>14</v>
      </c>
      <c r="F881" t="s">
        <v>62</v>
      </c>
      <c r="G881" t="s">
        <v>63</v>
      </c>
      <c r="H881">
        <v>4</v>
      </c>
      <c r="I881">
        <v>500</v>
      </c>
      <c r="J881">
        <v>8230</v>
      </c>
      <c r="K881">
        <v>133.19</v>
      </c>
      <c r="L881" s="3">
        <f t="shared" si="13"/>
        <v>0.26638000000000001</v>
      </c>
    </row>
    <row r="882" spans="1:12" x14ac:dyDescent="0.3">
      <c r="A882" s="5" t="s">
        <v>355</v>
      </c>
      <c r="B882" t="s">
        <v>85</v>
      </c>
      <c r="C882">
        <v>2025</v>
      </c>
      <c r="D882" t="s">
        <v>18</v>
      </c>
      <c r="E882" t="s">
        <v>60</v>
      </c>
      <c r="F882" t="s">
        <v>42</v>
      </c>
      <c r="G882" t="s">
        <v>20</v>
      </c>
      <c r="H882">
        <v>11</v>
      </c>
      <c r="I882">
        <v>5918</v>
      </c>
      <c r="J882">
        <v>15613</v>
      </c>
      <c r="K882">
        <v>639.36</v>
      </c>
      <c r="L882" s="3">
        <f t="shared" si="13"/>
        <v>0.10803649881716797</v>
      </c>
    </row>
    <row r="883" spans="1:12" x14ac:dyDescent="0.3">
      <c r="A883" s="5" t="s">
        <v>52</v>
      </c>
      <c r="B883" t="s">
        <v>39</v>
      </c>
      <c r="C883">
        <v>2025</v>
      </c>
      <c r="D883" t="s">
        <v>18</v>
      </c>
      <c r="E883" t="s">
        <v>28</v>
      </c>
      <c r="F883" t="s">
        <v>15</v>
      </c>
      <c r="G883" t="s">
        <v>16</v>
      </c>
      <c r="H883">
        <v>1</v>
      </c>
      <c r="I883">
        <v>1038</v>
      </c>
      <c r="J883">
        <v>8777</v>
      </c>
      <c r="K883">
        <v>178.66</v>
      </c>
      <c r="L883" s="3">
        <f t="shared" si="13"/>
        <v>0.17211946050096338</v>
      </c>
    </row>
    <row r="884" spans="1:12" x14ac:dyDescent="0.3">
      <c r="A884" s="5" t="s">
        <v>266</v>
      </c>
      <c r="B884" t="s">
        <v>85</v>
      </c>
      <c r="C884">
        <v>2025</v>
      </c>
      <c r="D884" t="s">
        <v>13</v>
      </c>
      <c r="E884" t="s">
        <v>49</v>
      </c>
      <c r="F884" t="s">
        <v>29</v>
      </c>
      <c r="G884" t="s">
        <v>20</v>
      </c>
      <c r="H884">
        <v>6</v>
      </c>
      <c r="I884">
        <v>6912</v>
      </c>
      <c r="J884">
        <v>19878</v>
      </c>
      <c r="K884">
        <v>1980.37</v>
      </c>
      <c r="L884" s="3">
        <f t="shared" si="13"/>
        <v>0.28651186342592588</v>
      </c>
    </row>
    <row r="885" spans="1:12" x14ac:dyDescent="0.3">
      <c r="A885" s="5" t="s">
        <v>127</v>
      </c>
      <c r="B885" t="s">
        <v>48</v>
      </c>
      <c r="C885">
        <v>2025</v>
      </c>
      <c r="D885" t="s">
        <v>23</v>
      </c>
      <c r="E885" t="s">
        <v>26</v>
      </c>
      <c r="F885" t="s">
        <v>19</v>
      </c>
      <c r="G885" t="s">
        <v>20</v>
      </c>
      <c r="H885">
        <v>13</v>
      </c>
      <c r="I885">
        <v>7943</v>
      </c>
      <c r="J885">
        <v>6828</v>
      </c>
      <c r="K885">
        <v>2091.5</v>
      </c>
      <c r="L885" s="3">
        <f t="shared" si="13"/>
        <v>0.26331360946745563</v>
      </c>
    </row>
    <row r="886" spans="1:12" x14ac:dyDescent="0.3">
      <c r="A886" s="5" t="s">
        <v>292</v>
      </c>
      <c r="B886" t="s">
        <v>41</v>
      </c>
      <c r="C886">
        <v>2025</v>
      </c>
      <c r="D886" t="s">
        <v>18</v>
      </c>
      <c r="E886" t="s">
        <v>49</v>
      </c>
      <c r="F886" t="s">
        <v>19</v>
      </c>
      <c r="G886" t="s">
        <v>20</v>
      </c>
      <c r="H886">
        <v>14</v>
      </c>
      <c r="I886">
        <v>9786</v>
      </c>
      <c r="J886">
        <v>18898</v>
      </c>
      <c r="K886">
        <v>2226.66</v>
      </c>
      <c r="L886" s="3">
        <f t="shared" si="13"/>
        <v>0.22753525444512568</v>
      </c>
    </row>
    <row r="887" spans="1:12" x14ac:dyDescent="0.3">
      <c r="A887" s="5" t="s">
        <v>130</v>
      </c>
      <c r="B887" t="s">
        <v>41</v>
      </c>
      <c r="C887">
        <v>2025</v>
      </c>
      <c r="D887" t="s">
        <v>18</v>
      </c>
      <c r="E887" t="s">
        <v>49</v>
      </c>
      <c r="F887" t="s">
        <v>62</v>
      </c>
      <c r="G887" t="s">
        <v>63</v>
      </c>
      <c r="H887">
        <v>6</v>
      </c>
      <c r="I887">
        <v>6330</v>
      </c>
      <c r="J887">
        <v>17426</v>
      </c>
      <c r="K887">
        <v>1775.94</v>
      </c>
      <c r="L887" s="3">
        <f t="shared" si="13"/>
        <v>0.28055924170616114</v>
      </c>
    </row>
    <row r="888" spans="1:12" x14ac:dyDescent="0.3">
      <c r="A888" s="5" t="s">
        <v>158</v>
      </c>
      <c r="B888" t="s">
        <v>22</v>
      </c>
      <c r="C888">
        <v>2025</v>
      </c>
      <c r="D888" t="s">
        <v>32</v>
      </c>
      <c r="E888" t="s">
        <v>28</v>
      </c>
      <c r="F888" t="s">
        <v>35</v>
      </c>
      <c r="G888" t="s">
        <v>20</v>
      </c>
      <c r="H888">
        <v>13</v>
      </c>
      <c r="I888">
        <v>4082</v>
      </c>
      <c r="J888">
        <v>19327</v>
      </c>
      <c r="K888">
        <v>878.7</v>
      </c>
      <c r="L888" s="3">
        <f t="shared" si="13"/>
        <v>0.21526212640862324</v>
      </c>
    </row>
    <row r="889" spans="1:12" x14ac:dyDescent="0.3">
      <c r="A889" s="5" t="s">
        <v>168</v>
      </c>
      <c r="B889" t="s">
        <v>34</v>
      </c>
      <c r="C889">
        <v>2025</v>
      </c>
      <c r="D889" t="s">
        <v>18</v>
      </c>
      <c r="E889" t="s">
        <v>26</v>
      </c>
      <c r="F889" t="s">
        <v>35</v>
      </c>
      <c r="G889" t="s">
        <v>20</v>
      </c>
      <c r="H889">
        <v>14</v>
      </c>
      <c r="I889">
        <v>10920</v>
      </c>
      <c r="J889">
        <v>18885</v>
      </c>
      <c r="K889">
        <v>2491.54</v>
      </c>
      <c r="L889" s="3">
        <f t="shared" si="13"/>
        <v>0.22816300366300366</v>
      </c>
    </row>
    <row r="890" spans="1:12" x14ac:dyDescent="0.3">
      <c r="A890" s="5" t="s">
        <v>164</v>
      </c>
      <c r="B890" t="s">
        <v>45</v>
      </c>
      <c r="C890">
        <v>2025</v>
      </c>
      <c r="D890" t="s">
        <v>23</v>
      </c>
      <c r="E890" t="s">
        <v>26</v>
      </c>
      <c r="F890" t="s">
        <v>15</v>
      </c>
      <c r="G890" t="s">
        <v>16</v>
      </c>
      <c r="H890">
        <v>5</v>
      </c>
      <c r="I890">
        <v>6975</v>
      </c>
      <c r="J890">
        <v>8718</v>
      </c>
      <c r="K890">
        <v>1912.55</v>
      </c>
      <c r="L890" s="3">
        <f t="shared" si="13"/>
        <v>0.27420071684587816</v>
      </c>
    </row>
    <row r="891" spans="1:12" x14ac:dyDescent="0.3">
      <c r="A891" s="5" t="s">
        <v>71</v>
      </c>
      <c r="B891" t="s">
        <v>37</v>
      </c>
      <c r="C891">
        <v>2025</v>
      </c>
      <c r="D891" t="s">
        <v>23</v>
      </c>
      <c r="E891" t="s">
        <v>14</v>
      </c>
      <c r="F891" t="s">
        <v>42</v>
      </c>
      <c r="G891" t="s">
        <v>20</v>
      </c>
      <c r="H891">
        <v>16</v>
      </c>
      <c r="I891">
        <v>14848</v>
      </c>
      <c r="J891">
        <v>6015</v>
      </c>
      <c r="K891">
        <v>1791.04</v>
      </c>
      <c r="L891" s="3">
        <f t="shared" si="13"/>
        <v>0.120625</v>
      </c>
    </row>
    <row r="892" spans="1:12" x14ac:dyDescent="0.3">
      <c r="A892" s="5" t="s">
        <v>333</v>
      </c>
      <c r="B892" t="s">
        <v>31</v>
      </c>
      <c r="C892">
        <v>2025</v>
      </c>
      <c r="D892" t="s">
        <v>32</v>
      </c>
      <c r="E892" t="s">
        <v>60</v>
      </c>
      <c r="F892" t="s">
        <v>19</v>
      </c>
      <c r="G892" t="s">
        <v>20</v>
      </c>
      <c r="H892">
        <v>8</v>
      </c>
      <c r="I892">
        <v>7672</v>
      </c>
      <c r="J892">
        <v>5300</v>
      </c>
      <c r="K892">
        <v>1777.73</v>
      </c>
      <c r="L892" s="3">
        <f t="shared" si="13"/>
        <v>0.23171663190823774</v>
      </c>
    </row>
    <row r="893" spans="1:12" x14ac:dyDescent="0.3">
      <c r="A893" s="5" t="s">
        <v>77</v>
      </c>
      <c r="B893" t="s">
        <v>31</v>
      </c>
      <c r="C893">
        <v>2025</v>
      </c>
      <c r="D893" t="s">
        <v>32</v>
      </c>
      <c r="E893" t="s">
        <v>60</v>
      </c>
      <c r="F893" t="s">
        <v>29</v>
      </c>
      <c r="G893" t="s">
        <v>20</v>
      </c>
      <c r="H893">
        <v>18</v>
      </c>
      <c r="I893">
        <v>15894</v>
      </c>
      <c r="J893">
        <v>6859</v>
      </c>
      <c r="K893">
        <v>3819.85</v>
      </c>
      <c r="L893" s="3">
        <f t="shared" si="13"/>
        <v>0.24033282999874167</v>
      </c>
    </row>
    <row r="894" spans="1:12" x14ac:dyDescent="0.3">
      <c r="A894" s="5" t="s">
        <v>347</v>
      </c>
      <c r="B894" t="s">
        <v>45</v>
      </c>
      <c r="C894">
        <v>2025</v>
      </c>
      <c r="D894" t="s">
        <v>18</v>
      </c>
      <c r="E894" t="s">
        <v>49</v>
      </c>
      <c r="F894" t="s">
        <v>19</v>
      </c>
      <c r="G894" t="s">
        <v>20</v>
      </c>
      <c r="H894">
        <v>20</v>
      </c>
      <c r="I894">
        <v>16600</v>
      </c>
      <c r="J894">
        <v>10247</v>
      </c>
      <c r="K894">
        <v>3237.54</v>
      </c>
      <c r="L894" s="3">
        <f t="shared" si="13"/>
        <v>0.19503253012048191</v>
      </c>
    </row>
    <row r="895" spans="1:12" x14ac:dyDescent="0.3">
      <c r="A895" s="5" t="s">
        <v>94</v>
      </c>
      <c r="B895" t="s">
        <v>22</v>
      </c>
      <c r="C895">
        <v>2025</v>
      </c>
      <c r="D895" t="s">
        <v>32</v>
      </c>
      <c r="E895" t="s">
        <v>28</v>
      </c>
      <c r="F895" t="s">
        <v>62</v>
      </c>
      <c r="G895" t="s">
        <v>63</v>
      </c>
      <c r="H895">
        <v>5</v>
      </c>
      <c r="I895">
        <v>4835</v>
      </c>
      <c r="J895">
        <v>5117</v>
      </c>
      <c r="K895">
        <v>1403.51</v>
      </c>
      <c r="L895" s="3">
        <f t="shared" si="13"/>
        <v>0.29028128231644262</v>
      </c>
    </row>
    <row r="896" spans="1:12" x14ac:dyDescent="0.3">
      <c r="A896" s="5" t="s">
        <v>90</v>
      </c>
      <c r="B896" t="s">
        <v>57</v>
      </c>
      <c r="C896">
        <v>2025</v>
      </c>
      <c r="D896" t="s">
        <v>23</v>
      </c>
      <c r="E896" t="s">
        <v>49</v>
      </c>
      <c r="F896" t="s">
        <v>29</v>
      </c>
      <c r="G896" t="s">
        <v>20</v>
      </c>
      <c r="H896">
        <v>8</v>
      </c>
      <c r="I896">
        <v>8488</v>
      </c>
      <c r="J896">
        <v>19367</v>
      </c>
      <c r="K896">
        <v>1371.74</v>
      </c>
      <c r="L896" s="3">
        <f t="shared" si="13"/>
        <v>0.16160933081998116</v>
      </c>
    </row>
    <row r="897" spans="1:12" x14ac:dyDescent="0.3">
      <c r="A897" s="5" t="s">
        <v>151</v>
      </c>
      <c r="B897" t="s">
        <v>57</v>
      </c>
      <c r="C897">
        <v>2025</v>
      </c>
      <c r="D897" t="s">
        <v>18</v>
      </c>
      <c r="E897" t="s">
        <v>49</v>
      </c>
      <c r="F897" t="s">
        <v>29</v>
      </c>
      <c r="G897" t="s">
        <v>20</v>
      </c>
      <c r="H897">
        <v>18</v>
      </c>
      <c r="I897">
        <v>15804</v>
      </c>
      <c r="J897">
        <v>7135</v>
      </c>
      <c r="K897">
        <v>2721.51</v>
      </c>
      <c r="L897" s="3">
        <f t="shared" si="13"/>
        <v>0.17220387243735766</v>
      </c>
    </row>
    <row r="898" spans="1:12" x14ac:dyDescent="0.3">
      <c r="A898" s="5" t="s">
        <v>219</v>
      </c>
      <c r="B898" t="s">
        <v>45</v>
      </c>
      <c r="C898">
        <v>2025</v>
      </c>
      <c r="D898" t="s">
        <v>13</v>
      </c>
      <c r="E898" t="s">
        <v>60</v>
      </c>
      <c r="F898" t="s">
        <v>42</v>
      </c>
      <c r="G898" t="s">
        <v>20</v>
      </c>
      <c r="H898">
        <v>3</v>
      </c>
      <c r="I898">
        <v>1593</v>
      </c>
      <c r="J898">
        <v>15563</v>
      </c>
      <c r="K898">
        <v>180.83</v>
      </c>
      <c r="L898" s="3">
        <f t="shared" si="13"/>
        <v>0.11351537978656623</v>
      </c>
    </row>
    <row r="899" spans="1:12" x14ac:dyDescent="0.3">
      <c r="A899" s="5" t="s">
        <v>305</v>
      </c>
      <c r="B899" t="s">
        <v>37</v>
      </c>
      <c r="C899">
        <v>2025</v>
      </c>
      <c r="D899" t="s">
        <v>23</v>
      </c>
      <c r="E899" t="s">
        <v>26</v>
      </c>
      <c r="F899" t="s">
        <v>62</v>
      </c>
      <c r="G899" t="s">
        <v>63</v>
      </c>
      <c r="H899">
        <v>5</v>
      </c>
      <c r="I899">
        <v>3835</v>
      </c>
      <c r="J899">
        <v>17109</v>
      </c>
      <c r="K899">
        <v>740.21</v>
      </c>
      <c r="L899" s="3">
        <f t="shared" ref="L899:L962" si="14">K899/I899</f>
        <v>0.19301434159061279</v>
      </c>
    </row>
    <row r="900" spans="1:12" x14ac:dyDescent="0.3">
      <c r="A900" s="5" t="s">
        <v>177</v>
      </c>
      <c r="B900" t="s">
        <v>31</v>
      </c>
      <c r="C900">
        <v>2025</v>
      </c>
      <c r="D900" t="s">
        <v>32</v>
      </c>
      <c r="E900" t="s">
        <v>60</v>
      </c>
      <c r="F900" t="s">
        <v>15</v>
      </c>
      <c r="G900" t="s">
        <v>16</v>
      </c>
      <c r="H900">
        <v>18</v>
      </c>
      <c r="I900">
        <v>2880</v>
      </c>
      <c r="J900">
        <v>10593</v>
      </c>
      <c r="K900">
        <v>413.25</v>
      </c>
      <c r="L900" s="3">
        <f t="shared" si="14"/>
        <v>0.14348958333333334</v>
      </c>
    </row>
    <row r="901" spans="1:12" x14ac:dyDescent="0.3">
      <c r="A901" s="5" t="s">
        <v>246</v>
      </c>
      <c r="B901" t="s">
        <v>45</v>
      </c>
      <c r="C901">
        <v>2025</v>
      </c>
      <c r="D901" t="s">
        <v>18</v>
      </c>
      <c r="E901" t="s">
        <v>14</v>
      </c>
      <c r="F901" t="s">
        <v>29</v>
      </c>
      <c r="G901" t="s">
        <v>20</v>
      </c>
      <c r="H901">
        <v>3</v>
      </c>
      <c r="I901">
        <v>3135</v>
      </c>
      <c r="J901">
        <v>5792</v>
      </c>
      <c r="K901">
        <v>344.49</v>
      </c>
      <c r="L901" s="3">
        <f t="shared" si="14"/>
        <v>0.10988516746411484</v>
      </c>
    </row>
    <row r="902" spans="1:12" x14ac:dyDescent="0.3">
      <c r="A902" s="5" t="s">
        <v>54</v>
      </c>
      <c r="B902" t="s">
        <v>22</v>
      </c>
      <c r="C902">
        <v>2025</v>
      </c>
      <c r="D902" t="s">
        <v>13</v>
      </c>
      <c r="E902" t="s">
        <v>60</v>
      </c>
      <c r="F902" t="s">
        <v>42</v>
      </c>
      <c r="G902" t="s">
        <v>20</v>
      </c>
      <c r="H902">
        <v>14</v>
      </c>
      <c r="I902">
        <v>7644</v>
      </c>
      <c r="J902">
        <v>13474</v>
      </c>
      <c r="K902">
        <v>1062.72</v>
      </c>
      <c r="L902" s="3">
        <f t="shared" si="14"/>
        <v>0.13902668759811618</v>
      </c>
    </row>
    <row r="903" spans="1:12" x14ac:dyDescent="0.3">
      <c r="A903" s="5" t="s">
        <v>325</v>
      </c>
      <c r="B903" t="s">
        <v>22</v>
      </c>
      <c r="C903">
        <v>2025</v>
      </c>
      <c r="D903" t="s">
        <v>18</v>
      </c>
      <c r="E903" t="s">
        <v>60</v>
      </c>
      <c r="F903" t="s">
        <v>42</v>
      </c>
      <c r="G903" t="s">
        <v>20</v>
      </c>
      <c r="H903">
        <v>13</v>
      </c>
      <c r="I903">
        <v>12441</v>
      </c>
      <c r="J903">
        <v>12948</v>
      </c>
      <c r="K903">
        <v>3217.9</v>
      </c>
      <c r="L903" s="3">
        <f t="shared" si="14"/>
        <v>0.25865284141146211</v>
      </c>
    </row>
    <row r="904" spans="1:12" x14ac:dyDescent="0.3">
      <c r="A904" s="5" t="s">
        <v>33</v>
      </c>
      <c r="B904" t="s">
        <v>34</v>
      </c>
      <c r="C904">
        <v>2025</v>
      </c>
      <c r="D904" t="s">
        <v>32</v>
      </c>
      <c r="E904" t="s">
        <v>60</v>
      </c>
      <c r="F904" t="s">
        <v>29</v>
      </c>
      <c r="G904" t="s">
        <v>20</v>
      </c>
      <c r="H904">
        <v>6</v>
      </c>
      <c r="I904">
        <v>894</v>
      </c>
      <c r="J904">
        <v>5624</v>
      </c>
      <c r="K904">
        <v>255.68</v>
      </c>
      <c r="L904" s="3">
        <f t="shared" si="14"/>
        <v>0.28599552572706938</v>
      </c>
    </row>
    <row r="905" spans="1:12" x14ac:dyDescent="0.3">
      <c r="A905" s="5" t="s">
        <v>324</v>
      </c>
      <c r="B905" t="s">
        <v>41</v>
      </c>
      <c r="C905">
        <v>2025</v>
      </c>
      <c r="D905" t="s">
        <v>23</v>
      </c>
      <c r="E905" t="s">
        <v>26</v>
      </c>
      <c r="F905" t="s">
        <v>29</v>
      </c>
      <c r="G905" t="s">
        <v>20</v>
      </c>
      <c r="H905">
        <v>16</v>
      </c>
      <c r="I905">
        <v>6704</v>
      </c>
      <c r="J905">
        <v>16830</v>
      </c>
      <c r="K905">
        <v>1974.75</v>
      </c>
      <c r="L905" s="3">
        <f t="shared" si="14"/>
        <v>0.29456294749403339</v>
      </c>
    </row>
    <row r="906" spans="1:12" x14ac:dyDescent="0.3">
      <c r="A906" s="5" t="s">
        <v>228</v>
      </c>
      <c r="B906" t="s">
        <v>57</v>
      </c>
      <c r="C906">
        <v>2025</v>
      </c>
      <c r="D906" t="s">
        <v>13</v>
      </c>
      <c r="E906" t="s">
        <v>26</v>
      </c>
      <c r="F906" t="s">
        <v>19</v>
      </c>
      <c r="G906" t="s">
        <v>20</v>
      </c>
      <c r="H906">
        <v>18</v>
      </c>
      <c r="I906">
        <v>16416</v>
      </c>
      <c r="J906">
        <v>17163</v>
      </c>
      <c r="K906">
        <v>3630.08</v>
      </c>
      <c r="L906" s="3">
        <f t="shared" si="14"/>
        <v>0.22113060428849901</v>
      </c>
    </row>
    <row r="907" spans="1:12" x14ac:dyDescent="0.3">
      <c r="A907" s="5" t="s">
        <v>229</v>
      </c>
      <c r="B907" t="s">
        <v>85</v>
      </c>
      <c r="C907">
        <v>2025</v>
      </c>
      <c r="D907" t="s">
        <v>13</v>
      </c>
      <c r="E907" t="s">
        <v>28</v>
      </c>
      <c r="F907" t="s">
        <v>42</v>
      </c>
      <c r="G907" t="s">
        <v>20</v>
      </c>
      <c r="H907">
        <v>11</v>
      </c>
      <c r="I907">
        <v>1419</v>
      </c>
      <c r="J907">
        <v>5626</v>
      </c>
      <c r="K907">
        <v>374.8</v>
      </c>
      <c r="L907" s="3">
        <f t="shared" si="14"/>
        <v>0.26412966878083161</v>
      </c>
    </row>
    <row r="908" spans="1:12" x14ac:dyDescent="0.3">
      <c r="A908" s="5" t="s">
        <v>235</v>
      </c>
      <c r="B908" t="s">
        <v>57</v>
      </c>
      <c r="C908">
        <v>2025</v>
      </c>
      <c r="D908" t="s">
        <v>18</v>
      </c>
      <c r="E908" t="s">
        <v>14</v>
      </c>
      <c r="F908" t="s">
        <v>15</v>
      </c>
      <c r="G908" t="s">
        <v>16</v>
      </c>
      <c r="H908">
        <v>9</v>
      </c>
      <c r="I908">
        <v>7785</v>
      </c>
      <c r="J908">
        <v>16665</v>
      </c>
      <c r="K908">
        <v>1887.4</v>
      </c>
      <c r="L908" s="3">
        <f t="shared" si="14"/>
        <v>0.24244059087989725</v>
      </c>
    </row>
    <row r="909" spans="1:12" x14ac:dyDescent="0.3">
      <c r="A909" s="5" t="s">
        <v>271</v>
      </c>
      <c r="B909" t="s">
        <v>22</v>
      </c>
      <c r="C909">
        <v>2025</v>
      </c>
      <c r="D909" t="s">
        <v>13</v>
      </c>
      <c r="E909" t="s">
        <v>49</v>
      </c>
      <c r="F909" t="s">
        <v>19</v>
      </c>
      <c r="G909" t="s">
        <v>20</v>
      </c>
      <c r="H909">
        <v>6</v>
      </c>
      <c r="I909">
        <v>6078</v>
      </c>
      <c r="J909">
        <v>14140</v>
      </c>
      <c r="K909">
        <v>1209.04</v>
      </c>
      <c r="L909" s="3">
        <f t="shared" si="14"/>
        <v>0.19892069759789405</v>
      </c>
    </row>
    <row r="910" spans="1:12" x14ac:dyDescent="0.3">
      <c r="A910" s="5" t="s">
        <v>231</v>
      </c>
      <c r="B910" t="s">
        <v>41</v>
      </c>
      <c r="C910">
        <v>2025</v>
      </c>
      <c r="D910" t="s">
        <v>32</v>
      </c>
      <c r="E910" t="s">
        <v>14</v>
      </c>
      <c r="F910" t="s">
        <v>15</v>
      </c>
      <c r="G910" t="s">
        <v>16</v>
      </c>
      <c r="H910">
        <v>10</v>
      </c>
      <c r="I910">
        <v>7740</v>
      </c>
      <c r="J910">
        <v>15771</v>
      </c>
      <c r="K910">
        <v>2291.31</v>
      </c>
      <c r="L910" s="3">
        <f t="shared" si="14"/>
        <v>0.29603488372093023</v>
      </c>
    </row>
    <row r="911" spans="1:12" x14ac:dyDescent="0.3">
      <c r="A911" s="5" t="s">
        <v>165</v>
      </c>
      <c r="B911" t="s">
        <v>22</v>
      </c>
      <c r="C911">
        <v>2025</v>
      </c>
      <c r="D911" t="s">
        <v>23</v>
      </c>
      <c r="E911" t="s">
        <v>60</v>
      </c>
      <c r="F911" t="s">
        <v>19</v>
      </c>
      <c r="G911" t="s">
        <v>20</v>
      </c>
      <c r="H911">
        <v>18</v>
      </c>
      <c r="I911">
        <v>23130</v>
      </c>
      <c r="J911">
        <v>8694</v>
      </c>
      <c r="K911">
        <v>2367.38</v>
      </c>
      <c r="L911" s="3">
        <f t="shared" si="14"/>
        <v>0.10235105923043666</v>
      </c>
    </row>
    <row r="912" spans="1:12" x14ac:dyDescent="0.3">
      <c r="A912" s="5" t="s">
        <v>93</v>
      </c>
      <c r="B912" t="s">
        <v>57</v>
      </c>
      <c r="C912">
        <v>2025</v>
      </c>
      <c r="D912" t="s">
        <v>13</v>
      </c>
      <c r="E912" t="s">
        <v>26</v>
      </c>
      <c r="F912" t="s">
        <v>19</v>
      </c>
      <c r="G912" t="s">
        <v>20</v>
      </c>
      <c r="H912">
        <v>3</v>
      </c>
      <c r="I912">
        <v>405</v>
      </c>
      <c r="J912">
        <v>18353</v>
      </c>
      <c r="K912">
        <v>84.09</v>
      </c>
      <c r="L912" s="3">
        <f t="shared" si="14"/>
        <v>0.20762962962962964</v>
      </c>
    </row>
    <row r="913" spans="1:12" x14ac:dyDescent="0.3">
      <c r="A913" s="5" t="s">
        <v>84</v>
      </c>
      <c r="B913" t="s">
        <v>85</v>
      </c>
      <c r="C913">
        <v>2025</v>
      </c>
      <c r="D913" t="s">
        <v>18</v>
      </c>
      <c r="E913" t="s">
        <v>60</v>
      </c>
      <c r="F913" t="s">
        <v>35</v>
      </c>
      <c r="G913" t="s">
        <v>20</v>
      </c>
      <c r="H913">
        <v>17</v>
      </c>
      <c r="I913">
        <v>12274</v>
      </c>
      <c r="J913">
        <v>13684</v>
      </c>
      <c r="K913">
        <v>2378.58</v>
      </c>
      <c r="L913" s="3">
        <f t="shared" si="14"/>
        <v>0.19379012546846994</v>
      </c>
    </row>
    <row r="914" spans="1:12" x14ac:dyDescent="0.3">
      <c r="A914" s="5" t="s">
        <v>68</v>
      </c>
      <c r="B914" t="s">
        <v>12</v>
      </c>
      <c r="C914">
        <v>2025</v>
      </c>
      <c r="D914" t="s">
        <v>23</v>
      </c>
      <c r="E914" t="s">
        <v>60</v>
      </c>
      <c r="F914" t="s">
        <v>15</v>
      </c>
      <c r="G914" t="s">
        <v>16</v>
      </c>
      <c r="H914">
        <v>7</v>
      </c>
      <c r="I914">
        <v>8960</v>
      </c>
      <c r="J914">
        <v>16465</v>
      </c>
      <c r="K914">
        <v>1838.58</v>
      </c>
      <c r="L914" s="3">
        <f t="shared" si="14"/>
        <v>0.20519866071428572</v>
      </c>
    </row>
    <row r="915" spans="1:12" x14ac:dyDescent="0.3">
      <c r="A915" s="5" t="s">
        <v>328</v>
      </c>
      <c r="B915" t="s">
        <v>12</v>
      </c>
      <c r="C915">
        <v>2025</v>
      </c>
      <c r="D915" t="s">
        <v>32</v>
      </c>
      <c r="E915" t="s">
        <v>28</v>
      </c>
      <c r="F915" t="s">
        <v>35</v>
      </c>
      <c r="G915" t="s">
        <v>20</v>
      </c>
      <c r="H915">
        <v>14</v>
      </c>
      <c r="I915">
        <v>10206</v>
      </c>
      <c r="J915">
        <v>13560</v>
      </c>
      <c r="K915">
        <v>1505.3</v>
      </c>
      <c r="L915" s="3">
        <f t="shared" si="14"/>
        <v>0.14749167156574564</v>
      </c>
    </row>
    <row r="916" spans="1:12" x14ac:dyDescent="0.3">
      <c r="A916" s="5" t="s">
        <v>345</v>
      </c>
      <c r="B916" t="s">
        <v>31</v>
      </c>
      <c r="C916">
        <v>2025</v>
      </c>
      <c r="D916" t="s">
        <v>32</v>
      </c>
      <c r="E916" t="s">
        <v>26</v>
      </c>
      <c r="F916" t="s">
        <v>19</v>
      </c>
      <c r="G916" t="s">
        <v>20</v>
      </c>
      <c r="H916">
        <v>13</v>
      </c>
      <c r="I916">
        <v>11323</v>
      </c>
      <c r="J916">
        <v>7891</v>
      </c>
      <c r="K916">
        <v>3219.39</v>
      </c>
      <c r="L916" s="3">
        <f t="shared" si="14"/>
        <v>0.28432305925991341</v>
      </c>
    </row>
    <row r="917" spans="1:12" x14ac:dyDescent="0.3">
      <c r="A917" s="5" t="s">
        <v>322</v>
      </c>
      <c r="B917" t="s">
        <v>45</v>
      </c>
      <c r="C917">
        <v>2025</v>
      </c>
      <c r="D917" t="s">
        <v>23</v>
      </c>
      <c r="E917" t="s">
        <v>28</v>
      </c>
      <c r="F917" t="s">
        <v>62</v>
      </c>
      <c r="G917" t="s">
        <v>63</v>
      </c>
      <c r="H917">
        <v>15</v>
      </c>
      <c r="I917">
        <v>4935</v>
      </c>
      <c r="J917">
        <v>11337</v>
      </c>
      <c r="K917">
        <v>1207.3699999999999</v>
      </c>
      <c r="L917" s="3">
        <f t="shared" si="14"/>
        <v>0.2446545086119554</v>
      </c>
    </row>
    <row r="918" spans="1:12" x14ac:dyDescent="0.3">
      <c r="A918" s="5" t="s">
        <v>209</v>
      </c>
      <c r="B918" t="s">
        <v>25</v>
      </c>
      <c r="C918">
        <v>2025</v>
      </c>
      <c r="D918" t="s">
        <v>23</v>
      </c>
      <c r="E918" t="s">
        <v>14</v>
      </c>
      <c r="F918" t="s">
        <v>35</v>
      </c>
      <c r="G918" t="s">
        <v>20</v>
      </c>
      <c r="H918">
        <v>18</v>
      </c>
      <c r="I918">
        <v>12438</v>
      </c>
      <c r="J918">
        <v>12790</v>
      </c>
      <c r="K918">
        <v>3004.55</v>
      </c>
      <c r="L918" s="3">
        <f t="shared" si="14"/>
        <v>0.24156214825534653</v>
      </c>
    </row>
    <row r="919" spans="1:12" x14ac:dyDescent="0.3">
      <c r="A919" s="5" t="s">
        <v>320</v>
      </c>
      <c r="B919" t="s">
        <v>41</v>
      </c>
      <c r="C919">
        <v>2025</v>
      </c>
      <c r="D919" t="s">
        <v>18</v>
      </c>
      <c r="E919" t="s">
        <v>26</v>
      </c>
      <c r="F919" t="s">
        <v>42</v>
      </c>
      <c r="G919" t="s">
        <v>20</v>
      </c>
      <c r="H919">
        <v>8</v>
      </c>
      <c r="I919">
        <v>6032</v>
      </c>
      <c r="J919">
        <v>6673</v>
      </c>
      <c r="K919">
        <v>713.93</v>
      </c>
      <c r="L919" s="3">
        <f t="shared" si="14"/>
        <v>0.11835709549071617</v>
      </c>
    </row>
    <row r="920" spans="1:12" x14ac:dyDescent="0.3">
      <c r="A920" s="5" t="s">
        <v>95</v>
      </c>
      <c r="B920" t="s">
        <v>34</v>
      </c>
      <c r="C920">
        <v>2025</v>
      </c>
      <c r="D920" t="s">
        <v>32</v>
      </c>
      <c r="E920" t="s">
        <v>49</v>
      </c>
      <c r="F920" t="s">
        <v>62</v>
      </c>
      <c r="G920" t="s">
        <v>63</v>
      </c>
      <c r="H920">
        <v>8</v>
      </c>
      <c r="I920">
        <v>1792</v>
      </c>
      <c r="J920">
        <v>14864</v>
      </c>
      <c r="K920">
        <v>223.35</v>
      </c>
      <c r="L920" s="3">
        <f t="shared" si="14"/>
        <v>0.12463727678571428</v>
      </c>
    </row>
    <row r="921" spans="1:12" x14ac:dyDescent="0.3">
      <c r="A921" s="5" t="s">
        <v>217</v>
      </c>
      <c r="B921" t="s">
        <v>37</v>
      </c>
      <c r="C921">
        <v>2025</v>
      </c>
      <c r="D921" t="s">
        <v>32</v>
      </c>
      <c r="E921" t="s">
        <v>14</v>
      </c>
      <c r="F921" t="s">
        <v>62</v>
      </c>
      <c r="G921" t="s">
        <v>63</v>
      </c>
      <c r="H921">
        <v>13</v>
      </c>
      <c r="I921">
        <v>17615</v>
      </c>
      <c r="J921">
        <v>12846</v>
      </c>
      <c r="K921">
        <v>4210.82</v>
      </c>
      <c r="L921" s="3">
        <f t="shared" si="14"/>
        <v>0.2390474027817201</v>
      </c>
    </row>
    <row r="922" spans="1:12" x14ac:dyDescent="0.3">
      <c r="A922" s="5" t="s">
        <v>344</v>
      </c>
      <c r="B922" t="s">
        <v>41</v>
      </c>
      <c r="C922">
        <v>2025</v>
      </c>
      <c r="D922" t="s">
        <v>23</v>
      </c>
      <c r="E922" t="s">
        <v>60</v>
      </c>
      <c r="F922" t="s">
        <v>62</v>
      </c>
      <c r="G922" t="s">
        <v>63</v>
      </c>
      <c r="H922">
        <v>1</v>
      </c>
      <c r="I922">
        <v>637</v>
      </c>
      <c r="J922">
        <v>19435</v>
      </c>
      <c r="K922">
        <v>168.33</v>
      </c>
      <c r="L922" s="3">
        <f t="shared" si="14"/>
        <v>0.26425431711145997</v>
      </c>
    </row>
    <row r="923" spans="1:12" x14ac:dyDescent="0.3">
      <c r="A923" s="5" t="s">
        <v>299</v>
      </c>
      <c r="B923" t="s">
        <v>39</v>
      </c>
      <c r="C923">
        <v>2025</v>
      </c>
      <c r="D923" t="s">
        <v>32</v>
      </c>
      <c r="E923" t="s">
        <v>60</v>
      </c>
      <c r="F923" t="s">
        <v>42</v>
      </c>
      <c r="G923" t="s">
        <v>20</v>
      </c>
      <c r="H923">
        <v>14</v>
      </c>
      <c r="I923">
        <v>15484</v>
      </c>
      <c r="J923">
        <v>19526</v>
      </c>
      <c r="K923">
        <v>2886.5</v>
      </c>
      <c r="L923" s="3">
        <f t="shared" si="14"/>
        <v>0.18641823818134848</v>
      </c>
    </row>
    <row r="924" spans="1:12" x14ac:dyDescent="0.3">
      <c r="A924" s="5" t="s">
        <v>247</v>
      </c>
      <c r="B924" t="s">
        <v>31</v>
      </c>
      <c r="C924">
        <v>2025</v>
      </c>
      <c r="D924" t="s">
        <v>23</v>
      </c>
      <c r="E924" t="s">
        <v>26</v>
      </c>
      <c r="F924" t="s">
        <v>35</v>
      </c>
      <c r="G924" t="s">
        <v>20</v>
      </c>
      <c r="H924">
        <v>1</v>
      </c>
      <c r="I924">
        <v>114</v>
      </c>
      <c r="J924">
        <v>12436</v>
      </c>
      <c r="K924">
        <v>23.32</v>
      </c>
      <c r="L924" s="3">
        <f t="shared" si="14"/>
        <v>0.20456140350877194</v>
      </c>
    </row>
    <row r="925" spans="1:12" x14ac:dyDescent="0.3">
      <c r="A925" s="5" t="s">
        <v>200</v>
      </c>
      <c r="B925" t="s">
        <v>31</v>
      </c>
      <c r="C925">
        <v>2025</v>
      </c>
      <c r="D925" t="s">
        <v>13</v>
      </c>
      <c r="E925" t="s">
        <v>28</v>
      </c>
      <c r="F925" t="s">
        <v>19</v>
      </c>
      <c r="G925" t="s">
        <v>20</v>
      </c>
      <c r="H925">
        <v>17</v>
      </c>
      <c r="I925">
        <v>3570</v>
      </c>
      <c r="J925">
        <v>13213</v>
      </c>
      <c r="K925">
        <v>860.49</v>
      </c>
      <c r="L925" s="3">
        <f t="shared" si="14"/>
        <v>0.24103361344537816</v>
      </c>
    </row>
    <row r="926" spans="1:12" x14ac:dyDescent="0.3">
      <c r="A926" s="5" t="s">
        <v>276</v>
      </c>
      <c r="B926" t="s">
        <v>45</v>
      </c>
      <c r="C926">
        <v>2025</v>
      </c>
      <c r="D926" t="s">
        <v>23</v>
      </c>
      <c r="E926" t="s">
        <v>60</v>
      </c>
      <c r="F926" t="s">
        <v>62</v>
      </c>
      <c r="G926" t="s">
        <v>63</v>
      </c>
      <c r="H926">
        <v>17</v>
      </c>
      <c r="I926">
        <v>24225</v>
      </c>
      <c r="J926">
        <v>11558</v>
      </c>
      <c r="K926">
        <v>4637.71</v>
      </c>
      <c r="L926" s="3">
        <f t="shared" si="14"/>
        <v>0.19144313725490197</v>
      </c>
    </row>
    <row r="927" spans="1:12" x14ac:dyDescent="0.3">
      <c r="A927" s="5" t="s">
        <v>216</v>
      </c>
      <c r="B927" t="s">
        <v>85</v>
      </c>
      <c r="C927">
        <v>2025</v>
      </c>
      <c r="D927" t="s">
        <v>32</v>
      </c>
      <c r="E927" t="s">
        <v>60</v>
      </c>
      <c r="F927" t="s">
        <v>62</v>
      </c>
      <c r="G927" t="s">
        <v>63</v>
      </c>
      <c r="H927">
        <v>20</v>
      </c>
      <c r="I927">
        <v>19760</v>
      </c>
      <c r="J927">
        <v>10302</v>
      </c>
      <c r="K927">
        <v>5778.77</v>
      </c>
      <c r="L927" s="3">
        <f t="shared" si="14"/>
        <v>0.29244787449392717</v>
      </c>
    </row>
    <row r="928" spans="1:12" x14ac:dyDescent="0.3">
      <c r="A928" s="5" t="s">
        <v>108</v>
      </c>
      <c r="B928" t="s">
        <v>37</v>
      </c>
      <c r="C928">
        <v>2025</v>
      </c>
      <c r="D928" t="s">
        <v>18</v>
      </c>
      <c r="E928" t="s">
        <v>28</v>
      </c>
      <c r="F928" t="s">
        <v>62</v>
      </c>
      <c r="G928" t="s">
        <v>63</v>
      </c>
      <c r="H928">
        <v>6</v>
      </c>
      <c r="I928">
        <v>6498</v>
      </c>
      <c r="J928">
        <v>7152</v>
      </c>
      <c r="K928">
        <v>1250.18</v>
      </c>
      <c r="L928" s="3">
        <f t="shared" si="14"/>
        <v>0.19239458294859957</v>
      </c>
    </row>
    <row r="929" spans="1:12" x14ac:dyDescent="0.3">
      <c r="A929" s="5" t="s">
        <v>92</v>
      </c>
      <c r="B929" t="s">
        <v>12</v>
      </c>
      <c r="C929">
        <v>2025</v>
      </c>
      <c r="D929" t="s">
        <v>18</v>
      </c>
      <c r="E929" t="s">
        <v>49</v>
      </c>
      <c r="F929" t="s">
        <v>15</v>
      </c>
      <c r="G929" t="s">
        <v>16</v>
      </c>
      <c r="H929">
        <v>17</v>
      </c>
      <c r="I929">
        <v>1785</v>
      </c>
      <c r="J929">
        <v>12579</v>
      </c>
      <c r="K929">
        <v>265.12</v>
      </c>
      <c r="L929" s="3">
        <f t="shared" si="14"/>
        <v>0.14852661064425771</v>
      </c>
    </row>
    <row r="930" spans="1:12" x14ac:dyDescent="0.3">
      <c r="A930" s="5" t="s">
        <v>165</v>
      </c>
      <c r="B930" t="s">
        <v>22</v>
      </c>
      <c r="C930">
        <v>2025</v>
      </c>
      <c r="D930" t="s">
        <v>32</v>
      </c>
      <c r="E930" t="s">
        <v>60</v>
      </c>
      <c r="F930" t="s">
        <v>15</v>
      </c>
      <c r="G930" t="s">
        <v>16</v>
      </c>
      <c r="H930">
        <v>4</v>
      </c>
      <c r="I930">
        <v>1660</v>
      </c>
      <c r="J930">
        <v>13565</v>
      </c>
      <c r="K930">
        <v>459.95</v>
      </c>
      <c r="L930" s="3">
        <f t="shared" si="14"/>
        <v>0.27707831325301202</v>
      </c>
    </row>
    <row r="931" spans="1:12" x14ac:dyDescent="0.3">
      <c r="A931" s="5" t="s">
        <v>119</v>
      </c>
      <c r="B931" t="s">
        <v>25</v>
      </c>
      <c r="C931">
        <v>2025</v>
      </c>
      <c r="D931" t="s">
        <v>18</v>
      </c>
      <c r="E931" t="s">
        <v>60</v>
      </c>
      <c r="F931" t="s">
        <v>19</v>
      </c>
      <c r="G931" t="s">
        <v>20</v>
      </c>
      <c r="H931">
        <v>17</v>
      </c>
      <c r="I931">
        <v>8823</v>
      </c>
      <c r="J931">
        <v>7425</v>
      </c>
      <c r="K931">
        <v>1016.55</v>
      </c>
      <c r="L931" s="3">
        <f t="shared" si="14"/>
        <v>0.11521591295477727</v>
      </c>
    </row>
    <row r="932" spans="1:12" x14ac:dyDescent="0.3">
      <c r="A932" s="5" t="s">
        <v>264</v>
      </c>
      <c r="B932" t="s">
        <v>85</v>
      </c>
      <c r="C932">
        <v>2025</v>
      </c>
      <c r="D932" t="s">
        <v>23</v>
      </c>
      <c r="E932" t="s">
        <v>49</v>
      </c>
      <c r="F932" t="s">
        <v>29</v>
      </c>
      <c r="G932" t="s">
        <v>20</v>
      </c>
      <c r="H932">
        <v>12</v>
      </c>
      <c r="I932">
        <v>9108</v>
      </c>
      <c r="J932">
        <v>7922</v>
      </c>
      <c r="K932">
        <v>1321.23</v>
      </c>
      <c r="L932" s="3">
        <f t="shared" si="14"/>
        <v>0.14506258234519104</v>
      </c>
    </row>
    <row r="933" spans="1:12" x14ac:dyDescent="0.3">
      <c r="A933" s="5" t="s">
        <v>364</v>
      </c>
      <c r="B933" t="s">
        <v>39</v>
      </c>
      <c r="C933">
        <v>2025</v>
      </c>
      <c r="D933" t="s">
        <v>23</v>
      </c>
      <c r="E933" t="s">
        <v>49</v>
      </c>
      <c r="F933" t="s">
        <v>42</v>
      </c>
      <c r="G933" t="s">
        <v>20</v>
      </c>
      <c r="H933">
        <v>3</v>
      </c>
      <c r="I933">
        <v>1305</v>
      </c>
      <c r="J933">
        <v>7660</v>
      </c>
      <c r="K933">
        <v>382.52</v>
      </c>
      <c r="L933" s="3">
        <f t="shared" si="14"/>
        <v>0.29311877394636016</v>
      </c>
    </row>
    <row r="934" spans="1:12" x14ac:dyDescent="0.3">
      <c r="A934" s="5" t="s">
        <v>56</v>
      </c>
      <c r="B934" t="s">
        <v>57</v>
      </c>
      <c r="C934">
        <v>2025</v>
      </c>
      <c r="D934" t="s">
        <v>13</v>
      </c>
      <c r="E934" t="s">
        <v>28</v>
      </c>
      <c r="F934" t="s">
        <v>35</v>
      </c>
      <c r="G934" t="s">
        <v>20</v>
      </c>
      <c r="H934">
        <v>6</v>
      </c>
      <c r="I934">
        <v>4776</v>
      </c>
      <c r="J934">
        <v>17790</v>
      </c>
      <c r="K934">
        <v>935.37</v>
      </c>
      <c r="L934" s="3">
        <f t="shared" si="14"/>
        <v>0.19584798994974875</v>
      </c>
    </row>
    <row r="935" spans="1:12" x14ac:dyDescent="0.3">
      <c r="A935" s="5" t="s">
        <v>314</v>
      </c>
      <c r="B935" t="s">
        <v>41</v>
      </c>
      <c r="C935">
        <v>2025</v>
      </c>
      <c r="D935" t="s">
        <v>23</v>
      </c>
      <c r="E935" t="s">
        <v>14</v>
      </c>
      <c r="F935" t="s">
        <v>35</v>
      </c>
      <c r="G935" t="s">
        <v>20</v>
      </c>
      <c r="H935">
        <v>13</v>
      </c>
      <c r="I935">
        <v>18655</v>
      </c>
      <c r="J935">
        <v>5361</v>
      </c>
      <c r="K935">
        <v>3741.13</v>
      </c>
      <c r="L935" s="3">
        <f t="shared" si="14"/>
        <v>0.20054301795765211</v>
      </c>
    </row>
    <row r="936" spans="1:12" x14ac:dyDescent="0.3">
      <c r="A936" s="5" t="s">
        <v>186</v>
      </c>
      <c r="B936" t="s">
        <v>45</v>
      </c>
      <c r="C936">
        <v>2025</v>
      </c>
      <c r="D936" t="s">
        <v>23</v>
      </c>
      <c r="E936" t="s">
        <v>49</v>
      </c>
      <c r="F936" t="s">
        <v>19</v>
      </c>
      <c r="G936" t="s">
        <v>20</v>
      </c>
      <c r="H936">
        <v>12</v>
      </c>
      <c r="I936">
        <v>4020</v>
      </c>
      <c r="J936">
        <v>7412</v>
      </c>
      <c r="K936">
        <v>558.73</v>
      </c>
      <c r="L936" s="3">
        <f t="shared" si="14"/>
        <v>0.13898756218905473</v>
      </c>
    </row>
    <row r="937" spans="1:12" x14ac:dyDescent="0.3">
      <c r="A937" s="5" t="s">
        <v>352</v>
      </c>
      <c r="B937" t="s">
        <v>22</v>
      </c>
      <c r="C937">
        <v>2025</v>
      </c>
      <c r="D937" t="s">
        <v>13</v>
      </c>
      <c r="E937" t="s">
        <v>14</v>
      </c>
      <c r="F937" t="s">
        <v>29</v>
      </c>
      <c r="G937" t="s">
        <v>20</v>
      </c>
      <c r="H937">
        <v>8</v>
      </c>
      <c r="I937">
        <v>1296</v>
      </c>
      <c r="J937">
        <v>17661</v>
      </c>
      <c r="K937">
        <v>322.74</v>
      </c>
      <c r="L937" s="3">
        <f t="shared" si="14"/>
        <v>0.24902777777777779</v>
      </c>
    </row>
    <row r="938" spans="1:12" x14ac:dyDescent="0.3">
      <c r="A938" s="5" t="s">
        <v>213</v>
      </c>
      <c r="B938" t="s">
        <v>45</v>
      </c>
      <c r="C938">
        <v>2025</v>
      </c>
      <c r="D938" t="s">
        <v>23</v>
      </c>
      <c r="E938" t="s">
        <v>60</v>
      </c>
      <c r="F938" t="s">
        <v>35</v>
      </c>
      <c r="G938" t="s">
        <v>20</v>
      </c>
      <c r="H938">
        <v>12</v>
      </c>
      <c r="I938">
        <v>1836</v>
      </c>
      <c r="J938">
        <v>9798</v>
      </c>
      <c r="K938">
        <v>331.86</v>
      </c>
      <c r="L938" s="3">
        <f t="shared" si="14"/>
        <v>0.18075163398692812</v>
      </c>
    </row>
    <row r="939" spans="1:12" x14ac:dyDescent="0.3">
      <c r="A939" s="5" t="s">
        <v>244</v>
      </c>
      <c r="B939" t="s">
        <v>25</v>
      </c>
      <c r="C939">
        <v>2025</v>
      </c>
      <c r="D939" t="s">
        <v>18</v>
      </c>
      <c r="E939" t="s">
        <v>60</v>
      </c>
      <c r="F939" t="s">
        <v>62</v>
      </c>
      <c r="G939" t="s">
        <v>63</v>
      </c>
      <c r="H939">
        <v>5</v>
      </c>
      <c r="I939">
        <v>1870</v>
      </c>
      <c r="J939">
        <v>14105</v>
      </c>
      <c r="K939">
        <v>526.36</v>
      </c>
      <c r="L939" s="3">
        <f t="shared" si="14"/>
        <v>0.28147593582887703</v>
      </c>
    </row>
    <row r="940" spans="1:12" x14ac:dyDescent="0.3">
      <c r="A940" s="5" t="s">
        <v>127</v>
      </c>
      <c r="B940" t="s">
        <v>48</v>
      </c>
      <c r="C940">
        <v>2025</v>
      </c>
      <c r="D940" t="s">
        <v>23</v>
      </c>
      <c r="E940" t="s">
        <v>14</v>
      </c>
      <c r="F940" t="s">
        <v>29</v>
      </c>
      <c r="G940" t="s">
        <v>20</v>
      </c>
      <c r="H940">
        <v>20</v>
      </c>
      <c r="I940">
        <v>2080</v>
      </c>
      <c r="J940">
        <v>13146</v>
      </c>
      <c r="K940">
        <v>377.2</v>
      </c>
      <c r="L940" s="3">
        <f t="shared" si="14"/>
        <v>0.18134615384615385</v>
      </c>
    </row>
    <row r="941" spans="1:12" x14ac:dyDescent="0.3">
      <c r="A941" s="5" t="s">
        <v>111</v>
      </c>
      <c r="B941" t="s">
        <v>34</v>
      </c>
      <c r="C941">
        <v>2025</v>
      </c>
      <c r="D941" t="s">
        <v>23</v>
      </c>
      <c r="E941" t="s">
        <v>28</v>
      </c>
      <c r="F941" t="s">
        <v>62</v>
      </c>
      <c r="G941" t="s">
        <v>63</v>
      </c>
      <c r="H941">
        <v>3</v>
      </c>
      <c r="I941">
        <v>2745</v>
      </c>
      <c r="J941">
        <v>16119</v>
      </c>
      <c r="K941">
        <v>516.85</v>
      </c>
      <c r="L941" s="3">
        <f t="shared" si="14"/>
        <v>0.18828779599271403</v>
      </c>
    </row>
    <row r="942" spans="1:12" x14ac:dyDescent="0.3">
      <c r="A942" s="5" t="s">
        <v>378</v>
      </c>
      <c r="B942" t="s">
        <v>57</v>
      </c>
      <c r="C942">
        <v>2025</v>
      </c>
      <c r="D942" t="s">
        <v>23</v>
      </c>
      <c r="E942" t="s">
        <v>49</v>
      </c>
      <c r="F942" t="s">
        <v>35</v>
      </c>
      <c r="G942" t="s">
        <v>20</v>
      </c>
      <c r="H942">
        <v>20</v>
      </c>
      <c r="I942">
        <v>28280</v>
      </c>
      <c r="J942">
        <v>7803</v>
      </c>
      <c r="K942">
        <v>6768.32</v>
      </c>
      <c r="L942" s="3">
        <f t="shared" si="14"/>
        <v>0.23933239038189533</v>
      </c>
    </row>
    <row r="943" spans="1:12" x14ac:dyDescent="0.3">
      <c r="A943" s="5" t="s">
        <v>113</v>
      </c>
      <c r="B943" t="s">
        <v>85</v>
      </c>
      <c r="C943">
        <v>2025</v>
      </c>
      <c r="D943" t="s">
        <v>18</v>
      </c>
      <c r="E943" t="s">
        <v>49</v>
      </c>
      <c r="F943" t="s">
        <v>35</v>
      </c>
      <c r="G943" t="s">
        <v>20</v>
      </c>
      <c r="H943">
        <v>1</v>
      </c>
      <c r="I943">
        <v>1402</v>
      </c>
      <c r="J943">
        <v>18139</v>
      </c>
      <c r="K943">
        <v>290.45</v>
      </c>
      <c r="L943" s="3">
        <f t="shared" si="14"/>
        <v>0.20716833095577744</v>
      </c>
    </row>
    <row r="944" spans="1:12" x14ac:dyDescent="0.3">
      <c r="A944" s="5" t="s">
        <v>50</v>
      </c>
      <c r="B944" t="s">
        <v>25</v>
      </c>
      <c r="C944">
        <v>2025</v>
      </c>
      <c r="D944" t="s">
        <v>18</v>
      </c>
      <c r="E944" t="s">
        <v>14</v>
      </c>
      <c r="F944" t="s">
        <v>19</v>
      </c>
      <c r="G944" t="s">
        <v>20</v>
      </c>
      <c r="H944">
        <v>16</v>
      </c>
      <c r="I944">
        <v>7648</v>
      </c>
      <c r="J944">
        <v>10047</v>
      </c>
      <c r="K944">
        <v>1516.59</v>
      </c>
      <c r="L944" s="3">
        <f t="shared" si="14"/>
        <v>0.19829890167364014</v>
      </c>
    </row>
    <row r="945" spans="1:12" x14ac:dyDescent="0.3">
      <c r="A945" s="5" t="s">
        <v>215</v>
      </c>
      <c r="B945" t="s">
        <v>85</v>
      </c>
      <c r="C945">
        <v>2025</v>
      </c>
      <c r="D945" t="s">
        <v>13</v>
      </c>
      <c r="E945" t="s">
        <v>28</v>
      </c>
      <c r="F945" t="s">
        <v>42</v>
      </c>
      <c r="G945" t="s">
        <v>20</v>
      </c>
      <c r="H945">
        <v>15</v>
      </c>
      <c r="I945">
        <v>15345</v>
      </c>
      <c r="J945">
        <v>8840</v>
      </c>
      <c r="K945">
        <v>4578.03</v>
      </c>
      <c r="L945" s="3">
        <f t="shared" si="14"/>
        <v>0.29834017595307916</v>
      </c>
    </row>
    <row r="946" spans="1:12" x14ac:dyDescent="0.3">
      <c r="A946" s="5" t="s">
        <v>217</v>
      </c>
      <c r="B946" t="s">
        <v>37</v>
      </c>
      <c r="C946">
        <v>2025</v>
      </c>
      <c r="D946" t="s">
        <v>18</v>
      </c>
      <c r="E946" t="s">
        <v>14</v>
      </c>
      <c r="F946" t="s">
        <v>62</v>
      </c>
      <c r="G946" t="s">
        <v>63</v>
      </c>
      <c r="H946">
        <v>9</v>
      </c>
      <c r="I946">
        <v>9225</v>
      </c>
      <c r="J946">
        <v>12790</v>
      </c>
      <c r="K946">
        <v>1585.18</v>
      </c>
      <c r="L946" s="3">
        <f t="shared" si="14"/>
        <v>0.17183523035230353</v>
      </c>
    </row>
    <row r="947" spans="1:12" x14ac:dyDescent="0.3">
      <c r="A947" s="5" t="s">
        <v>259</v>
      </c>
      <c r="B947" t="s">
        <v>25</v>
      </c>
      <c r="C947">
        <v>2025</v>
      </c>
      <c r="D947" t="s">
        <v>18</v>
      </c>
      <c r="E947" t="s">
        <v>26</v>
      </c>
      <c r="F947" t="s">
        <v>42</v>
      </c>
      <c r="G947" t="s">
        <v>20</v>
      </c>
      <c r="H947">
        <v>1</v>
      </c>
      <c r="I947">
        <v>456</v>
      </c>
      <c r="J947">
        <v>6746</v>
      </c>
      <c r="K947">
        <v>86.58</v>
      </c>
      <c r="L947" s="3">
        <f t="shared" si="14"/>
        <v>0.18986842105263158</v>
      </c>
    </row>
    <row r="948" spans="1:12" x14ac:dyDescent="0.3">
      <c r="A948" s="5" t="s">
        <v>126</v>
      </c>
      <c r="B948" t="s">
        <v>34</v>
      </c>
      <c r="C948">
        <v>2025</v>
      </c>
      <c r="D948" t="s">
        <v>32</v>
      </c>
      <c r="E948" t="s">
        <v>14</v>
      </c>
      <c r="F948" t="s">
        <v>62</v>
      </c>
      <c r="G948" t="s">
        <v>63</v>
      </c>
      <c r="H948">
        <v>18</v>
      </c>
      <c r="I948">
        <v>13320</v>
      </c>
      <c r="J948">
        <v>11829</v>
      </c>
      <c r="K948">
        <v>2798.74</v>
      </c>
      <c r="L948" s="3">
        <f t="shared" si="14"/>
        <v>0.21011561561561559</v>
      </c>
    </row>
    <row r="949" spans="1:12" x14ac:dyDescent="0.3">
      <c r="A949" s="5" t="s">
        <v>206</v>
      </c>
      <c r="B949" t="s">
        <v>12</v>
      </c>
      <c r="C949">
        <v>2025</v>
      </c>
      <c r="D949" t="s">
        <v>23</v>
      </c>
      <c r="E949" t="s">
        <v>49</v>
      </c>
      <c r="F949" t="s">
        <v>19</v>
      </c>
      <c r="G949" t="s">
        <v>20</v>
      </c>
      <c r="H949">
        <v>2</v>
      </c>
      <c r="I949">
        <v>1146</v>
      </c>
      <c r="J949">
        <v>14037</v>
      </c>
      <c r="K949">
        <v>179.83</v>
      </c>
      <c r="L949" s="3">
        <f t="shared" si="14"/>
        <v>0.15691972076788832</v>
      </c>
    </row>
    <row r="950" spans="1:12" x14ac:dyDescent="0.3">
      <c r="A950" s="5" t="s">
        <v>349</v>
      </c>
      <c r="B950" t="s">
        <v>39</v>
      </c>
      <c r="C950">
        <v>2025</v>
      </c>
      <c r="D950" t="s">
        <v>13</v>
      </c>
      <c r="E950" t="s">
        <v>60</v>
      </c>
      <c r="F950" t="s">
        <v>62</v>
      </c>
      <c r="G950" t="s">
        <v>63</v>
      </c>
      <c r="H950">
        <v>3</v>
      </c>
      <c r="I950">
        <v>4185</v>
      </c>
      <c r="J950">
        <v>10723</v>
      </c>
      <c r="K950">
        <v>649.4</v>
      </c>
      <c r="L950" s="3">
        <f t="shared" si="14"/>
        <v>0.15517323775388292</v>
      </c>
    </row>
    <row r="951" spans="1:12" x14ac:dyDescent="0.3">
      <c r="A951" s="5" t="s">
        <v>228</v>
      </c>
      <c r="B951" t="s">
        <v>57</v>
      </c>
      <c r="C951">
        <v>2025</v>
      </c>
      <c r="D951" t="s">
        <v>18</v>
      </c>
      <c r="E951" t="s">
        <v>26</v>
      </c>
      <c r="F951" t="s">
        <v>35</v>
      </c>
      <c r="G951" t="s">
        <v>20</v>
      </c>
      <c r="H951">
        <v>17</v>
      </c>
      <c r="I951">
        <v>18581</v>
      </c>
      <c r="J951">
        <v>5845</v>
      </c>
      <c r="K951">
        <v>4249.6899999999996</v>
      </c>
      <c r="L951" s="3">
        <f t="shared" si="14"/>
        <v>0.22871158710510733</v>
      </c>
    </row>
    <row r="952" spans="1:12" x14ac:dyDescent="0.3">
      <c r="A952" s="5" t="s">
        <v>189</v>
      </c>
      <c r="B952" t="s">
        <v>57</v>
      </c>
      <c r="C952">
        <v>2025</v>
      </c>
      <c r="D952" t="s">
        <v>13</v>
      </c>
      <c r="E952" t="s">
        <v>26</v>
      </c>
      <c r="F952" t="s">
        <v>62</v>
      </c>
      <c r="G952" t="s">
        <v>63</v>
      </c>
      <c r="H952">
        <v>8</v>
      </c>
      <c r="I952">
        <v>1672</v>
      </c>
      <c r="J952">
        <v>6604</v>
      </c>
      <c r="K952">
        <v>314.08999999999997</v>
      </c>
      <c r="L952" s="3">
        <f t="shared" si="14"/>
        <v>0.1878528708133971</v>
      </c>
    </row>
    <row r="953" spans="1:12" x14ac:dyDescent="0.3">
      <c r="A953" s="5" t="s">
        <v>275</v>
      </c>
      <c r="B953" t="s">
        <v>34</v>
      </c>
      <c r="C953">
        <v>2025</v>
      </c>
      <c r="D953" t="s">
        <v>13</v>
      </c>
      <c r="E953" t="s">
        <v>49</v>
      </c>
      <c r="F953" t="s">
        <v>62</v>
      </c>
      <c r="G953" t="s">
        <v>63</v>
      </c>
      <c r="H953">
        <v>2</v>
      </c>
      <c r="I953">
        <v>730</v>
      </c>
      <c r="J953">
        <v>17529</v>
      </c>
      <c r="K953">
        <v>101.2</v>
      </c>
      <c r="L953" s="3">
        <f t="shared" si="14"/>
        <v>0.13863013698630136</v>
      </c>
    </row>
    <row r="954" spans="1:12" x14ac:dyDescent="0.3">
      <c r="A954" s="5" t="s">
        <v>364</v>
      </c>
      <c r="B954" t="s">
        <v>39</v>
      </c>
      <c r="C954">
        <v>2025</v>
      </c>
      <c r="D954" t="s">
        <v>32</v>
      </c>
      <c r="E954" t="s">
        <v>14</v>
      </c>
      <c r="F954" t="s">
        <v>35</v>
      </c>
      <c r="G954" t="s">
        <v>20</v>
      </c>
      <c r="H954">
        <v>5</v>
      </c>
      <c r="I954">
        <v>5435</v>
      </c>
      <c r="J954">
        <v>19901</v>
      </c>
      <c r="K954">
        <v>745.15</v>
      </c>
      <c r="L954" s="3">
        <f t="shared" si="14"/>
        <v>0.13710211591536339</v>
      </c>
    </row>
    <row r="955" spans="1:12" x14ac:dyDescent="0.3">
      <c r="A955" s="5" t="s">
        <v>319</v>
      </c>
      <c r="B955" t="s">
        <v>85</v>
      </c>
      <c r="C955">
        <v>2025</v>
      </c>
      <c r="D955" t="s">
        <v>23</v>
      </c>
      <c r="E955" t="s">
        <v>28</v>
      </c>
      <c r="F955" t="s">
        <v>42</v>
      </c>
      <c r="G955" t="s">
        <v>20</v>
      </c>
      <c r="H955">
        <v>17</v>
      </c>
      <c r="I955">
        <v>25211</v>
      </c>
      <c r="J955">
        <v>12794</v>
      </c>
      <c r="K955">
        <v>6267.89</v>
      </c>
      <c r="L955" s="3">
        <f t="shared" si="14"/>
        <v>0.24861727023918131</v>
      </c>
    </row>
    <row r="956" spans="1:12" x14ac:dyDescent="0.3">
      <c r="A956" s="5" t="s">
        <v>252</v>
      </c>
      <c r="B956" t="s">
        <v>45</v>
      </c>
      <c r="C956">
        <v>2025</v>
      </c>
      <c r="D956" t="s">
        <v>32</v>
      </c>
      <c r="E956" t="s">
        <v>60</v>
      </c>
      <c r="F956" t="s">
        <v>29</v>
      </c>
      <c r="G956" t="s">
        <v>20</v>
      </c>
      <c r="H956">
        <v>18</v>
      </c>
      <c r="I956">
        <v>12996</v>
      </c>
      <c r="J956">
        <v>6892</v>
      </c>
      <c r="K956">
        <v>2457.2399999999998</v>
      </c>
      <c r="L956" s="3">
        <f t="shared" si="14"/>
        <v>0.18907663896583563</v>
      </c>
    </row>
    <row r="957" spans="1:12" x14ac:dyDescent="0.3">
      <c r="A957" s="5" t="s">
        <v>206</v>
      </c>
      <c r="B957" t="s">
        <v>12</v>
      </c>
      <c r="C957">
        <v>2025</v>
      </c>
      <c r="D957" t="s">
        <v>23</v>
      </c>
      <c r="E957" t="s">
        <v>26</v>
      </c>
      <c r="F957" t="s">
        <v>15</v>
      </c>
      <c r="G957" t="s">
        <v>16</v>
      </c>
      <c r="H957">
        <v>19</v>
      </c>
      <c r="I957">
        <v>18202</v>
      </c>
      <c r="J957">
        <v>19907</v>
      </c>
      <c r="K957">
        <v>4462.58</v>
      </c>
      <c r="L957" s="3">
        <f t="shared" si="14"/>
        <v>0.24516976156466322</v>
      </c>
    </row>
    <row r="958" spans="1:12" x14ac:dyDescent="0.3">
      <c r="A958" s="5" t="s">
        <v>370</v>
      </c>
      <c r="B958" t="s">
        <v>57</v>
      </c>
      <c r="C958">
        <v>2025</v>
      </c>
      <c r="D958" t="s">
        <v>23</v>
      </c>
      <c r="E958" t="s">
        <v>26</v>
      </c>
      <c r="F958" t="s">
        <v>29</v>
      </c>
      <c r="G958" t="s">
        <v>20</v>
      </c>
      <c r="H958">
        <v>12</v>
      </c>
      <c r="I958">
        <v>4872</v>
      </c>
      <c r="J958">
        <v>15169</v>
      </c>
      <c r="K958">
        <v>942.45</v>
      </c>
      <c r="L958" s="3">
        <f t="shared" si="14"/>
        <v>0.19344211822660098</v>
      </c>
    </row>
    <row r="959" spans="1:12" x14ac:dyDescent="0.3">
      <c r="A959" s="5" t="s">
        <v>303</v>
      </c>
      <c r="B959" t="s">
        <v>22</v>
      </c>
      <c r="C959">
        <v>2025</v>
      </c>
      <c r="D959" t="s">
        <v>32</v>
      </c>
      <c r="E959" t="s">
        <v>28</v>
      </c>
      <c r="F959" t="s">
        <v>19</v>
      </c>
      <c r="G959" t="s">
        <v>20</v>
      </c>
      <c r="H959">
        <v>16</v>
      </c>
      <c r="I959">
        <v>18016</v>
      </c>
      <c r="J959">
        <v>14617</v>
      </c>
      <c r="K959">
        <v>5115.8100000000004</v>
      </c>
      <c r="L959" s="3">
        <f t="shared" si="14"/>
        <v>0.28395925843694497</v>
      </c>
    </row>
    <row r="960" spans="1:12" x14ac:dyDescent="0.3">
      <c r="A960" s="5" t="s">
        <v>348</v>
      </c>
      <c r="B960" t="s">
        <v>37</v>
      </c>
      <c r="C960">
        <v>2025</v>
      </c>
      <c r="D960" t="s">
        <v>32</v>
      </c>
      <c r="E960" t="s">
        <v>28</v>
      </c>
      <c r="F960" t="s">
        <v>42</v>
      </c>
      <c r="G960" t="s">
        <v>20</v>
      </c>
      <c r="H960">
        <v>20</v>
      </c>
      <c r="I960">
        <v>28220</v>
      </c>
      <c r="J960">
        <v>6398</v>
      </c>
      <c r="K960">
        <v>6285.73</v>
      </c>
      <c r="L960" s="3">
        <f t="shared" si="14"/>
        <v>0.22274025513819984</v>
      </c>
    </row>
    <row r="961" spans="1:12" x14ac:dyDescent="0.3">
      <c r="A961" s="5" t="s">
        <v>245</v>
      </c>
      <c r="B961" t="s">
        <v>85</v>
      </c>
      <c r="C961">
        <v>2025</v>
      </c>
      <c r="D961" t="s">
        <v>13</v>
      </c>
      <c r="E961" t="s">
        <v>60</v>
      </c>
      <c r="F961" t="s">
        <v>42</v>
      </c>
      <c r="G961" t="s">
        <v>20</v>
      </c>
      <c r="H961">
        <v>13</v>
      </c>
      <c r="I961">
        <v>5070</v>
      </c>
      <c r="J961">
        <v>6910</v>
      </c>
      <c r="K961">
        <v>661.17</v>
      </c>
      <c r="L961" s="3">
        <f t="shared" si="14"/>
        <v>0.13040828402366864</v>
      </c>
    </row>
    <row r="962" spans="1:12" x14ac:dyDescent="0.3">
      <c r="A962" s="5" t="s">
        <v>74</v>
      </c>
      <c r="B962" t="s">
        <v>12</v>
      </c>
      <c r="C962">
        <v>2025</v>
      </c>
      <c r="D962" t="s">
        <v>32</v>
      </c>
      <c r="E962" t="s">
        <v>28</v>
      </c>
      <c r="F962" t="s">
        <v>42</v>
      </c>
      <c r="G962" t="s">
        <v>20</v>
      </c>
      <c r="H962">
        <v>4</v>
      </c>
      <c r="I962">
        <v>4632</v>
      </c>
      <c r="J962">
        <v>6431</v>
      </c>
      <c r="K962">
        <v>794.79</v>
      </c>
      <c r="L962" s="3">
        <f t="shared" si="14"/>
        <v>0.17158678756476684</v>
      </c>
    </row>
    <row r="963" spans="1:12" x14ac:dyDescent="0.3">
      <c r="A963" s="5" t="s">
        <v>164</v>
      </c>
      <c r="B963" t="s">
        <v>45</v>
      </c>
      <c r="C963">
        <v>2025</v>
      </c>
      <c r="D963" t="s">
        <v>32</v>
      </c>
      <c r="E963" t="s">
        <v>49</v>
      </c>
      <c r="F963" t="s">
        <v>19</v>
      </c>
      <c r="G963" t="s">
        <v>20</v>
      </c>
      <c r="H963">
        <v>10</v>
      </c>
      <c r="I963">
        <v>10460</v>
      </c>
      <c r="J963">
        <v>15743</v>
      </c>
      <c r="K963">
        <v>3084.98</v>
      </c>
      <c r="L963" s="3">
        <f t="shared" ref="L963:L1001" si="15">K963/I963</f>
        <v>0.29493116634799238</v>
      </c>
    </row>
    <row r="964" spans="1:12" x14ac:dyDescent="0.3">
      <c r="A964" s="5" t="s">
        <v>341</v>
      </c>
      <c r="B964" t="s">
        <v>12</v>
      </c>
      <c r="C964">
        <v>2025</v>
      </c>
      <c r="D964" t="s">
        <v>13</v>
      </c>
      <c r="E964" t="s">
        <v>60</v>
      </c>
      <c r="F964" t="s">
        <v>15</v>
      </c>
      <c r="G964" t="s">
        <v>16</v>
      </c>
      <c r="H964">
        <v>4</v>
      </c>
      <c r="I964">
        <v>3180</v>
      </c>
      <c r="J964">
        <v>18204</v>
      </c>
      <c r="K964">
        <v>338.67</v>
      </c>
      <c r="L964" s="3">
        <f t="shared" si="15"/>
        <v>0.10650000000000001</v>
      </c>
    </row>
    <row r="965" spans="1:12" x14ac:dyDescent="0.3">
      <c r="A965" s="5" t="s">
        <v>249</v>
      </c>
      <c r="B965" t="s">
        <v>39</v>
      </c>
      <c r="C965">
        <v>2025</v>
      </c>
      <c r="D965" t="s">
        <v>18</v>
      </c>
      <c r="E965" t="s">
        <v>49</v>
      </c>
      <c r="F965" t="s">
        <v>15</v>
      </c>
      <c r="G965" t="s">
        <v>16</v>
      </c>
      <c r="H965">
        <v>4</v>
      </c>
      <c r="I965">
        <v>1156</v>
      </c>
      <c r="J965">
        <v>12064</v>
      </c>
      <c r="K965">
        <v>345.77</v>
      </c>
      <c r="L965" s="3">
        <f t="shared" si="15"/>
        <v>0.29910899653979239</v>
      </c>
    </row>
    <row r="966" spans="1:12" x14ac:dyDescent="0.3">
      <c r="A966" s="5" t="s">
        <v>287</v>
      </c>
      <c r="B966" t="s">
        <v>41</v>
      </c>
      <c r="C966">
        <v>2025</v>
      </c>
      <c r="D966" t="s">
        <v>23</v>
      </c>
      <c r="E966" t="s">
        <v>26</v>
      </c>
      <c r="F966" t="s">
        <v>19</v>
      </c>
      <c r="G966" t="s">
        <v>20</v>
      </c>
      <c r="H966">
        <v>17</v>
      </c>
      <c r="I966">
        <v>9299</v>
      </c>
      <c r="J966">
        <v>10539</v>
      </c>
      <c r="K966">
        <v>1402.59</v>
      </c>
      <c r="L966" s="3">
        <f t="shared" si="15"/>
        <v>0.1508323475642542</v>
      </c>
    </row>
    <row r="967" spans="1:12" x14ac:dyDescent="0.3">
      <c r="A967" s="5" t="s">
        <v>335</v>
      </c>
      <c r="B967" t="s">
        <v>41</v>
      </c>
      <c r="C967">
        <v>2025</v>
      </c>
      <c r="D967" t="s">
        <v>13</v>
      </c>
      <c r="E967" t="s">
        <v>26</v>
      </c>
      <c r="F967" t="s">
        <v>62</v>
      </c>
      <c r="G967" t="s">
        <v>63</v>
      </c>
      <c r="H967">
        <v>6</v>
      </c>
      <c r="I967">
        <v>8910</v>
      </c>
      <c r="J967">
        <v>8543</v>
      </c>
      <c r="K967">
        <v>1786.36</v>
      </c>
      <c r="L967" s="3">
        <f t="shared" si="15"/>
        <v>0.20048933782267114</v>
      </c>
    </row>
    <row r="968" spans="1:12" x14ac:dyDescent="0.3">
      <c r="A968" s="5" t="s">
        <v>221</v>
      </c>
      <c r="B968" t="s">
        <v>12</v>
      </c>
      <c r="C968">
        <v>2025</v>
      </c>
      <c r="D968" t="s">
        <v>23</v>
      </c>
      <c r="E968" t="s">
        <v>14</v>
      </c>
      <c r="F968" t="s">
        <v>29</v>
      </c>
      <c r="G968" t="s">
        <v>20</v>
      </c>
      <c r="H968">
        <v>2</v>
      </c>
      <c r="I968">
        <v>2430</v>
      </c>
      <c r="J968">
        <v>15169</v>
      </c>
      <c r="K968">
        <v>394.09</v>
      </c>
      <c r="L968" s="3">
        <f t="shared" si="15"/>
        <v>0.16217695473251029</v>
      </c>
    </row>
    <row r="969" spans="1:12" x14ac:dyDescent="0.3">
      <c r="A969" s="5" t="s">
        <v>232</v>
      </c>
      <c r="B969" t="s">
        <v>37</v>
      </c>
      <c r="C969">
        <v>2025</v>
      </c>
      <c r="D969" t="s">
        <v>32</v>
      </c>
      <c r="E969" t="s">
        <v>49</v>
      </c>
      <c r="F969" t="s">
        <v>29</v>
      </c>
      <c r="G969" t="s">
        <v>20</v>
      </c>
      <c r="H969">
        <v>6</v>
      </c>
      <c r="I969">
        <v>1260</v>
      </c>
      <c r="J969">
        <v>9754</v>
      </c>
      <c r="K969">
        <v>268.22000000000003</v>
      </c>
      <c r="L969" s="3">
        <f t="shared" si="15"/>
        <v>0.21287301587301591</v>
      </c>
    </row>
    <row r="970" spans="1:12" x14ac:dyDescent="0.3">
      <c r="A970" s="5" t="s">
        <v>131</v>
      </c>
      <c r="B970" t="s">
        <v>22</v>
      </c>
      <c r="C970">
        <v>2025</v>
      </c>
      <c r="D970" t="s">
        <v>32</v>
      </c>
      <c r="E970" t="s">
        <v>60</v>
      </c>
      <c r="F970" t="s">
        <v>35</v>
      </c>
      <c r="G970" t="s">
        <v>20</v>
      </c>
      <c r="H970">
        <v>15</v>
      </c>
      <c r="I970">
        <v>21570</v>
      </c>
      <c r="J970">
        <v>16846</v>
      </c>
      <c r="K970">
        <v>4386.58</v>
      </c>
      <c r="L970" s="3">
        <f t="shared" si="15"/>
        <v>0.20336485859990727</v>
      </c>
    </row>
    <row r="971" spans="1:12" x14ac:dyDescent="0.3">
      <c r="A971" s="5" t="s">
        <v>50</v>
      </c>
      <c r="B971" t="s">
        <v>25</v>
      </c>
      <c r="C971">
        <v>2025</v>
      </c>
      <c r="D971" t="s">
        <v>13</v>
      </c>
      <c r="E971" t="s">
        <v>28</v>
      </c>
      <c r="F971" t="s">
        <v>29</v>
      </c>
      <c r="G971" t="s">
        <v>20</v>
      </c>
      <c r="H971">
        <v>16</v>
      </c>
      <c r="I971">
        <v>15792</v>
      </c>
      <c r="J971">
        <v>16259</v>
      </c>
      <c r="K971">
        <v>2789</v>
      </c>
      <c r="L971" s="3">
        <f t="shared" si="15"/>
        <v>0.17660840932117527</v>
      </c>
    </row>
    <row r="972" spans="1:12" x14ac:dyDescent="0.3">
      <c r="A972" s="5" t="s">
        <v>107</v>
      </c>
      <c r="B972" t="s">
        <v>12</v>
      </c>
      <c r="C972">
        <v>2025</v>
      </c>
      <c r="D972" t="s">
        <v>32</v>
      </c>
      <c r="E972" t="s">
        <v>28</v>
      </c>
      <c r="F972" t="s">
        <v>42</v>
      </c>
      <c r="G972" t="s">
        <v>20</v>
      </c>
      <c r="H972">
        <v>4</v>
      </c>
      <c r="I972">
        <v>1988</v>
      </c>
      <c r="J972">
        <v>8767</v>
      </c>
      <c r="K972">
        <v>264.45</v>
      </c>
      <c r="L972" s="3">
        <f t="shared" si="15"/>
        <v>0.13302313883299799</v>
      </c>
    </row>
    <row r="973" spans="1:12" x14ac:dyDescent="0.3">
      <c r="A973" s="5" t="s">
        <v>245</v>
      </c>
      <c r="B973" t="s">
        <v>85</v>
      </c>
      <c r="C973">
        <v>2025</v>
      </c>
      <c r="D973" t="s">
        <v>32</v>
      </c>
      <c r="E973" t="s">
        <v>28</v>
      </c>
      <c r="F973" t="s">
        <v>35</v>
      </c>
      <c r="G973" t="s">
        <v>20</v>
      </c>
      <c r="H973">
        <v>12</v>
      </c>
      <c r="I973">
        <v>15204</v>
      </c>
      <c r="J973">
        <v>7428</v>
      </c>
      <c r="K973">
        <v>3222.03</v>
      </c>
      <c r="L973" s="3">
        <f t="shared" si="15"/>
        <v>0.21191988950276244</v>
      </c>
    </row>
    <row r="974" spans="1:12" x14ac:dyDescent="0.3">
      <c r="A974" s="5" t="s">
        <v>122</v>
      </c>
      <c r="B974" t="s">
        <v>34</v>
      </c>
      <c r="C974">
        <v>2025</v>
      </c>
      <c r="D974" t="s">
        <v>13</v>
      </c>
      <c r="E974" t="s">
        <v>49</v>
      </c>
      <c r="F974" t="s">
        <v>29</v>
      </c>
      <c r="G974" t="s">
        <v>20</v>
      </c>
      <c r="H974">
        <v>10</v>
      </c>
      <c r="I974">
        <v>7970</v>
      </c>
      <c r="J974">
        <v>15248</v>
      </c>
      <c r="K974">
        <v>1230.8800000000001</v>
      </c>
      <c r="L974" s="3">
        <f t="shared" si="15"/>
        <v>0.15443914680050189</v>
      </c>
    </row>
    <row r="975" spans="1:12" x14ac:dyDescent="0.3">
      <c r="A975" s="5" t="s">
        <v>114</v>
      </c>
      <c r="B975" t="s">
        <v>22</v>
      </c>
      <c r="C975">
        <v>2025</v>
      </c>
      <c r="D975" t="s">
        <v>13</v>
      </c>
      <c r="E975" t="s">
        <v>26</v>
      </c>
      <c r="F975" t="s">
        <v>35</v>
      </c>
      <c r="G975" t="s">
        <v>20</v>
      </c>
      <c r="H975">
        <v>7</v>
      </c>
      <c r="I975">
        <v>7357</v>
      </c>
      <c r="J975">
        <v>8245</v>
      </c>
      <c r="K975">
        <v>1768.41</v>
      </c>
      <c r="L975" s="3">
        <f t="shared" si="15"/>
        <v>0.2403710751665081</v>
      </c>
    </row>
    <row r="976" spans="1:12" x14ac:dyDescent="0.3">
      <c r="A976" s="5" t="s">
        <v>110</v>
      </c>
      <c r="B976" t="s">
        <v>37</v>
      </c>
      <c r="C976">
        <v>2025</v>
      </c>
      <c r="D976" t="s">
        <v>23</v>
      </c>
      <c r="E976" t="s">
        <v>49</v>
      </c>
      <c r="F976" t="s">
        <v>35</v>
      </c>
      <c r="G976" t="s">
        <v>20</v>
      </c>
      <c r="H976">
        <v>6</v>
      </c>
      <c r="I976">
        <v>948</v>
      </c>
      <c r="J976">
        <v>12743</v>
      </c>
      <c r="K976">
        <v>96.48</v>
      </c>
      <c r="L976" s="3">
        <f t="shared" si="15"/>
        <v>0.10177215189873418</v>
      </c>
    </row>
    <row r="977" spans="1:12" x14ac:dyDescent="0.3">
      <c r="A977" s="5" t="s">
        <v>268</v>
      </c>
      <c r="B977" t="s">
        <v>31</v>
      </c>
      <c r="C977">
        <v>2025</v>
      </c>
      <c r="D977" t="s">
        <v>18</v>
      </c>
      <c r="E977" t="s">
        <v>49</v>
      </c>
      <c r="F977" t="s">
        <v>42</v>
      </c>
      <c r="G977" t="s">
        <v>20</v>
      </c>
      <c r="H977">
        <v>13</v>
      </c>
      <c r="I977">
        <v>3640</v>
      </c>
      <c r="J977">
        <v>12891</v>
      </c>
      <c r="K977">
        <v>487.47</v>
      </c>
      <c r="L977" s="3">
        <f t="shared" si="15"/>
        <v>0.13392032967032969</v>
      </c>
    </row>
    <row r="978" spans="1:12" x14ac:dyDescent="0.3">
      <c r="A978" s="5" t="s">
        <v>314</v>
      </c>
      <c r="B978" t="s">
        <v>41</v>
      </c>
      <c r="C978">
        <v>2025</v>
      </c>
      <c r="D978" t="s">
        <v>32</v>
      </c>
      <c r="E978" t="s">
        <v>60</v>
      </c>
      <c r="F978" t="s">
        <v>19</v>
      </c>
      <c r="G978" t="s">
        <v>20</v>
      </c>
      <c r="H978">
        <v>8</v>
      </c>
      <c r="I978">
        <v>4528</v>
      </c>
      <c r="J978">
        <v>19421</v>
      </c>
      <c r="K978">
        <v>1314.72</v>
      </c>
      <c r="L978" s="3">
        <f t="shared" si="15"/>
        <v>0.29035335689045938</v>
      </c>
    </row>
    <row r="979" spans="1:12" x14ac:dyDescent="0.3">
      <c r="A979" s="5" t="s">
        <v>216</v>
      </c>
      <c r="B979" t="s">
        <v>85</v>
      </c>
      <c r="C979">
        <v>2025</v>
      </c>
      <c r="D979" t="s">
        <v>32</v>
      </c>
      <c r="E979" t="s">
        <v>49</v>
      </c>
      <c r="F979" t="s">
        <v>19</v>
      </c>
      <c r="G979" t="s">
        <v>20</v>
      </c>
      <c r="H979">
        <v>17</v>
      </c>
      <c r="I979">
        <v>19975</v>
      </c>
      <c r="J979">
        <v>19235</v>
      </c>
      <c r="K979">
        <v>3682.11</v>
      </c>
      <c r="L979" s="3">
        <f t="shared" si="15"/>
        <v>0.18433591989987486</v>
      </c>
    </row>
    <row r="980" spans="1:12" x14ac:dyDescent="0.3">
      <c r="A980" s="5" t="s">
        <v>11</v>
      </c>
      <c r="B980" t="s">
        <v>12</v>
      </c>
      <c r="C980">
        <v>2025</v>
      </c>
      <c r="D980" t="s">
        <v>18</v>
      </c>
      <c r="E980" t="s">
        <v>26</v>
      </c>
      <c r="F980" t="s">
        <v>15</v>
      </c>
      <c r="G980" t="s">
        <v>16</v>
      </c>
      <c r="H980">
        <v>11</v>
      </c>
      <c r="I980">
        <v>16192</v>
      </c>
      <c r="J980">
        <v>9553</v>
      </c>
      <c r="K980">
        <v>4061.05</v>
      </c>
      <c r="L980" s="3">
        <f t="shared" si="15"/>
        <v>0.25080595355731228</v>
      </c>
    </row>
    <row r="981" spans="1:12" x14ac:dyDescent="0.3">
      <c r="A981" s="5" t="s">
        <v>295</v>
      </c>
      <c r="B981" t="s">
        <v>48</v>
      </c>
      <c r="C981">
        <v>2025</v>
      </c>
      <c r="D981" t="s">
        <v>18</v>
      </c>
      <c r="E981" t="s">
        <v>49</v>
      </c>
      <c r="F981" t="s">
        <v>42</v>
      </c>
      <c r="G981" t="s">
        <v>20</v>
      </c>
      <c r="H981">
        <v>17</v>
      </c>
      <c r="I981">
        <v>14824</v>
      </c>
      <c r="J981">
        <v>10806</v>
      </c>
      <c r="K981">
        <v>2489.0500000000002</v>
      </c>
      <c r="L981" s="3">
        <f t="shared" si="15"/>
        <v>0.16790677280086347</v>
      </c>
    </row>
    <row r="982" spans="1:12" x14ac:dyDescent="0.3">
      <c r="A982" s="5" t="s">
        <v>213</v>
      </c>
      <c r="B982" t="s">
        <v>45</v>
      </c>
      <c r="C982">
        <v>2025</v>
      </c>
      <c r="D982" t="s">
        <v>13</v>
      </c>
      <c r="E982" t="s">
        <v>60</v>
      </c>
      <c r="F982" t="s">
        <v>15</v>
      </c>
      <c r="G982" t="s">
        <v>16</v>
      </c>
      <c r="H982">
        <v>14</v>
      </c>
      <c r="I982">
        <v>5054</v>
      </c>
      <c r="J982">
        <v>9776</v>
      </c>
      <c r="K982">
        <v>520.28</v>
      </c>
      <c r="L982" s="3">
        <f t="shared" si="15"/>
        <v>0.10294420261179263</v>
      </c>
    </row>
    <row r="983" spans="1:12" x14ac:dyDescent="0.3">
      <c r="A983" s="5" t="s">
        <v>72</v>
      </c>
      <c r="B983" t="s">
        <v>12</v>
      </c>
      <c r="C983">
        <v>2025</v>
      </c>
      <c r="D983" t="s">
        <v>13</v>
      </c>
      <c r="E983" t="s">
        <v>26</v>
      </c>
      <c r="F983" t="s">
        <v>19</v>
      </c>
      <c r="G983" t="s">
        <v>20</v>
      </c>
      <c r="H983">
        <v>17</v>
      </c>
      <c r="I983">
        <v>13294</v>
      </c>
      <c r="J983">
        <v>8633</v>
      </c>
      <c r="K983">
        <v>2923.46</v>
      </c>
      <c r="L983" s="3">
        <f t="shared" si="15"/>
        <v>0.21990822927636527</v>
      </c>
    </row>
    <row r="984" spans="1:12" x14ac:dyDescent="0.3">
      <c r="A984" s="5" t="s">
        <v>121</v>
      </c>
      <c r="B984" t="s">
        <v>12</v>
      </c>
      <c r="C984">
        <v>2025</v>
      </c>
      <c r="D984" t="s">
        <v>13</v>
      </c>
      <c r="E984" t="s">
        <v>28</v>
      </c>
      <c r="F984" t="s">
        <v>15</v>
      </c>
      <c r="G984" t="s">
        <v>16</v>
      </c>
      <c r="H984">
        <v>1</v>
      </c>
      <c r="I984">
        <v>128</v>
      </c>
      <c r="J984">
        <v>17147</v>
      </c>
      <c r="K984">
        <v>35.07</v>
      </c>
      <c r="L984" s="3">
        <f t="shared" si="15"/>
        <v>0.273984375</v>
      </c>
    </row>
    <row r="985" spans="1:12" x14ac:dyDescent="0.3">
      <c r="A985" s="5" t="s">
        <v>379</v>
      </c>
      <c r="B985" t="s">
        <v>48</v>
      </c>
      <c r="C985">
        <v>2025</v>
      </c>
      <c r="D985" t="s">
        <v>18</v>
      </c>
      <c r="E985" t="s">
        <v>14</v>
      </c>
      <c r="F985" t="s">
        <v>19</v>
      </c>
      <c r="G985" t="s">
        <v>20</v>
      </c>
      <c r="H985">
        <v>1</v>
      </c>
      <c r="I985">
        <v>1009</v>
      </c>
      <c r="J985">
        <v>18756</v>
      </c>
      <c r="K985">
        <v>112.31</v>
      </c>
      <c r="L985" s="3">
        <f t="shared" si="15"/>
        <v>0.11130822596630327</v>
      </c>
    </row>
    <row r="986" spans="1:12" x14ac:dyDescent="0.3">
      <c r="A986" s="5" t="s">
        <v>118</v>
      </c>
      <c r="B986" t="s">
        <v>31</v>
      </c>
      <c r="C986">
        <v>2025</v>
      </c>
      <c r="D986" t="s">
        <v>18</v>
      </c>
      <c r="E986" t="s">
        <v>28</v>
      </c>
      <c r="F986" t="s">
        <v>15</v>
      </c>
      <c r="G986" t="s">
        <v>16</v>
      </c>
      <c r="H986">
        <v>19</v>
      </c>
      <c r="I986">
        <v>14288</v>
      </c>
      <c r="J986">
        <v>8914</v>
      </c>
      <c r="K986">
        <v>2469.8000000000002</v>
      </c>
      <c r="L986" s="3">
        <f t="shared" si="15"/>
        <v>0.17285834266517358</v>
      </c>
    </row>
    <row r="987" spans="1:12" x14ac:dyDescent="0.3">
      <c r="A987" s="5" t="s">
        <v>323</v>
      </c>
      <c r="B987" t="s">
        <v>37</v>
      </c>
      <c r="C987">
        <v>2025</v>
      </c>
      <c r="D987" t="s">
        <v>32</v>
      </c>
      <c r="E987" t="s">
        <v>28</v>
      </c>
      <c r="F987" t="s">
        <v>42</v>
      </c>
      <c r="G987" t="s">
        <v>20</v>
      </c>
      <c r="H987">
        <v>19</v>
      </c>
      <c r="I987">
        <v>14839</v>
      </c>
      <c r="J987">
        <v>12024</v>
      </c>
      <c r="K987">
        <v>1701.26</v>
      </c>
      <c r="L987" s="3">
        <f t="shared" si="15"/>
        <v>0.11464788732394367</v>
      </c>
    </row>
    <row r="988" spans="1:12" x14ac:dyDescent="0.3">
      <c r="A988" s="5" t="s">
        <v>170</v>
      </c>
      <c r="B988" t="s">
        <v>48</v>
      </c>
      <c r="C988">
        <v>2025</v>
      </c>
      <c r="D988" t="s">
        <v>13</v>
      </c>
      <c r="E988" t="s">
        <v>60</v>
      </c>
      <c r="F988" t="s">
        <v>35</v>
      </c>
      <c r="G988" t="s">
        <v>20</v>
      </c>
      <c r="H988">
        <v>20</v>
      </c>
      <c r="I988">
        <v>21580</v>
      </c>
      <c r="J988">
        <v>17111</v>
      </c>
      <c r="K988">
        <v>5767.45</v>
      </c>
      <c r="L988" s="3">
        <f t="shared" si="15"/>
        <v>0.2672590361445783</v>
      </c>
    </row>
    <row r="989" spans="1:12" x14ac:dyDescent="0.3">
      <c r="A989" s="5" t="s">
        <v>74</v>
      </c>
      <c r="B989" t="s">
        <v>12</v>
      </c>
      <c r="C989">
        <v>2025</v>
      </c>
      <c r="D989" t="s">
        <v>23</v>
      </c>
      <c r="E989" t="s">
        <v>60</v>
      </c>
      <c r="F989" t="s">
        <v>35</v>
      </c>
      <c r="G989" t="s">
        <v>20</v>
      </c>
      <c r="H989">
        <v>19</v>
      </c>
      <c r="I989">
        <v>27930</v>
      </c>
      <c r="J989">
        <v>18869</v>
      </c>
      <c r="K989">
        <v>7973.37</v>
      </c>
      <c r="L989" s="3">
        <f t="shared" si="15"/>
        <v>0.28547690655209451</v>
      </c>
    </row>
    <row r="990" spans="1:12" x14ac:dyDescent="0.3">
      <c r="A990" s="5" t="s">
        <v>100</v>
      </c>
      <c r="B990" t="s">
        <v>39</v>
      </c>
      <c r="C990">
        <v>2025</v>
      </c>
      <c r="D990" t="s">
        <v>18</v>
      </c>
      <c r="E990" t="s">
        <v>60</v>
      </c>
      <c r="F990" t="s">
        <v>35</v>
      </c>
      <c r="G990" t="s">
        <v>20</v>
      </c>
      <c r="H990">
        <v>14</v>
      </c>
      <c r="I990">
        <v>19362</v>
      </c>
      <c r="J990">
        <v>7732</v>
      </c>
      <c r="K990">
        <v>3874.56</v>
      </c>
      <c r="L990" s="3">
        <f t="shared" si="15"/>
        <v>0.20011155872327238</v>
      </c>
    </row>
    <row r="991" spans="1:12" x14ac:dyDescent="0.3">
      <c r="A991" s="5" t="s">
        <v>181</v>
      </c>
      <c r="B991" t="s">
        <v>39</v>
      </c>
      <c r="C991">
        <v>2025</v>
      </c>
      <c r="D991" t="s">
        <v>18</v>
      </c>
      <c r="E991" t="s">
        <v>14</v>
      </c>
      <c r="F991" t="s">
        <v>19</v>
      </c>
      <c r="G991" t="s">
        <v>20</v>
      </c>
      <c r="H991">
        <v>19</v>
      </c>
      <c r="I991">
        <v>20235</v>
      </c>
      <c r="J991">
        <v>16907</v>
      </c>
      <c r="K991">
        <v>3328.36</v>
      </c>
      <c r="L991" s="3">
        <f t="shared" si="15"/>
        <v>0.16448529775142082</v>
      </c>
    </row>
    <row r="992" spans="1:12" x14ac:dyDescent="0.3">
      <c r="A992" s="5" t="s">
        <v>281</v>
      </c>
      <c r="B992" t="s">
        <v>41</v>
      </c>
      <c r="C992">
        <v>2025</v>
      </c>
      <c r="D992" t="s">
        <v>23</v>
      </c>
      <c r="E992" t="s">
        <v>60</v>
      </c>
      <c r="F992" t="s">
        <v>29</v>
      </c>
      <c r="G992" t="s">
        <v>20</v>
      </c>
      <c r="H992">
        <v>9</v>
      </c>
      <c r="I992">
        <v>12519</v>
      </c>
      <c r="J992">
        <v>11562</v>
      </c>
      <c r="K992">
        <v>2037.97</v>
      </c>
      <c r="L992" s="3">
        <f t="shared" si="15"/>
        <v>0.16279015895838325</v>
      </c>
    </row>
    <row r="993" spans="1:12" x14ac:dyDescent="0.3">
      <c r="A993" s="5" t="s">
        <v>129</v>
      </c>
      <c r="B993" t="s">
        <v>34</v>
      </c>
      <c r="C993">
        <v>2025</v>
      </c>
      <c r="D993" t="s">
        <v>23</v>
      </c>
      <c r="E993" t="s">
        <v>49</v>
      </c>
      <c r="F993" t="s">
        <v>42</v>
      </c>
      <c r="G993" t="s">
        <v>20</v>
      </c>
      <c r="H993">
        <v>11</v>
      </c>
      <c r="I993">
        <v>12606</v>
      </c>
      <c r="J993">
        <v>14649</v>
      </c>
      <c r="K993">
        <v>3675</v>
      </c>
      <c r="L993" s="3">
        <f t="shared" si="15"/>
        <v>0.29152784388386482</v>
      </c>
    </row>
    <row r="994" spans="1:12" x14ac:dyDescent="0.3">
      <c r="A994" s="5" t="s">
        <v>168</v>
      </c>
      <c r="B994" t="s">
        <v>34</v>
      </c>
      <c r="C994">
        <v>2025</v>
      </c>
      <c r="D994" t="s">
        <v>18</v>
      </c>
      <c r="E994" t="s">
        <v>28</v>
      </c>
      <c r="F994" t="s">
        <v>15</v>
      </c>
      <c r="G994" t="s">
        <v>16</v>
      </c>
      <c r="H994">
        <v>20</v>
      </c>
      <c r="I994">
        <v>9380</v>
      </c>
      <c r="J994">
        <v>16326</v>
      </c>
      <c r="K994">
        <v>2797.17</v>
      </c>
      <c r="L994" s="3">
        <f t="shared" si="15"/>
        <v>0.29820575692963752</v>
      </c>
    </row>
    <row r="995" spans="1:12" x14ac:dyDescent="0.3">
      <c r="A995" s="5" t="s">
        <v>380</v>
      </c>
      <c r="B995" t="s">
        <v>37</v>
      </c>
      <c r="C995">
        <v>2025</v>
      </c>
      <c r="D995" t="s">
        <v>32</v>
      </c>
      <c r="E995" t="s">
        <v>60</v>
      </c>
      <c r="F995" t="s">
        <v>19</v>
      </c>
      <c r="G995" t="s">
        <v>20</v>
      </c>
      <c r="H995">
        <v>13</v>
      </c>
      <c r="I995">
        <v>16640</v>
      </c>
      <c r="J995">
        <v>13977</v>
      </c>
      <c r="K995">
        <v>3917.97</v>
      </c>
      <c r="L995" s="3">
        <f t="shared" si="15"/>
        <v>0.23545492788461536</v>
      </c>
    </row>
    <row r="996" spans="1:12" x14ac:dyDescent="0.3">
      <c r="A996" s="5" t="s">
        <v>381</v>
      </c>
      <c r="B996" t="s">
        <v>39</v>
      </c>
      <c r="C996">
        <v>2025</v>
      </c>
      <c r="D996" t="s">
        <v>13</v>
      </c>
      <c r="E996" t="s">
        <v>60</v>
      </c>
      <c r="F996" t="s">
        <v>35</v>
      </c>
      <c r="G996" t="s">
        <v>20</v>
      </c>
      <c r="H996">
        <v>14</v>
      </c>
      <c r="I996">
        <v>10444</v>
      </c>
      <c r="J996">
        <v>5208</v>
      </c>
      <c r="K996">
        <v>2157.1799999999998</v>
      </c>
      <c r="L996" s="3">
        <f t="shared" si="15"/>
        <v>0.20654729988510148</v>
      </c>
    </row>
    <row r="997" spans="1:12" x14ac:dyDescent="0.3">
      <c r="A997" s="5" t="s">
        <v>382</v>
      </c>
      <c r="B997" t="s">
        <v>85</v>
      </c>
      <c r="C997">
        <v>2025</v>
      </c>
      <c r="D997" t="s">
        <v>23</v>
      </c>
      <c r="E997" t="s">
        <v>49</v>
      </c>
      <c r="F997" t="s">
        <v>35</v>
      </c>
      <c r="G997" t="s">
        <v>20</v>
      </c>
      <c r="H997">
        <v>16</v>
      </c>
      <c r="I997">
        <v>9152</v>
      </c>
      <c r="J997">
        <v>17881</v>
      </c>
      <c r="K997">
        <v>1416.92</v>
      </c>
      <c r="L997" s="3">
        <f t="shared" si="15"/>
        <v>0.15482080419580421</v>
      </c>
    </row>
    <row r="998" spans="1:12" x14ac:dyDescent="0.3">
      <c r="A998" s="5" t="s">
        <v>251</v>
      </c>
      <c r="B998" t="s">
        <v>41</v>
      </c>
      <c r="C998">
        <v>2025</v>
      </c>
      <c r="D998" t="s">
        <v>13</v>
      </c>
      <c r="E998" t="s">
        <v>28</v>
      </c>
      <c r="F998" t="s">
        <v>62</v>
      </c>
      <c r="G998" t="s">
        <v>63</v>
      </c>
      <c r="H998">
        <v>10</v>
      </c>
      <c r="I998">
        <v>6560</v>
      </c>
      <c r="J998">
        <v>13676</v>
      </c>
      <c r="K998">
        <v>1217.74</v>
      </c>
      <c r="L998" s="3">
        <f t="shared" si="15"/>
        <v>0.18563109756097562</v>
      </c>
    </row>
    <row r="999" spans="1:12" x14ac:dyDescent="0.3">
      <c r="A999" s="5" t="s">
        <v>294</v>
      </c>
      <c r="B999" t="s">
        <v>39</v>
      </c>
      <c r="C999">
        <v>2025</v>
      </c>
      <c r="D999" t="s">
        <v>23</v>
      </c>
      <c r="E999" t="s">
        <v>14</v>
      </c>
      <c r="F999" t="s">
        <v>42</v>
      </c>
      <c r="G999" t="s">
        <v>20</v>
      </c>
      <c r="H999">
        <v>9</v>
      </c>
      <c r="I999">
        <v>7776</v>
      </c>
      <c r="J999">
        <v>18654</v>
      </c>
      <c r="K999">
        <v>952.47</v>
      </c>
      <c r="L999" s="3">
        <f t="shared" si="15"/>
        <v>0.12248842592592593</v>
      </c>
    </row>
    <row r="1000" spans="1:12" x14ac:dyDescent="0.3">
      <c r="A1000" s="5" t="s">
        <v>293</v>
      </c>
      <c r="B1000" t="s">
        <v>48</v>
      </c>
      <c r="C1000">
        <v>2025</v>
      </c>
      <c r="D1000" t="s">
        <v>18</v>
      </c>
      <c r="E1000" t="s">
        <v>60</v>
      </c>
      <c r="F1000" t="s">
        <v>62</v>
      </c>
      <c r="G1000" t="s">
        <v>63</v>
      </c>
      <c r="H1000">
        <v>9</v>
      </c>
      <c r="I1000">
        <v>11394</v>
      </c>
      <c r="J1000">
        <v>10115</v>
      </c>
      <c r="K1000">
        <v>1422.81</v>
      </c>
      <c r="L1000" s="3">
        <f t="shared" si="15"/>
        <v>0.1248736176935229</v>
      </c>
    </row>
    <row r="1001" spans="1:12" x14ac:dyDescent="0.3">
      <c r="A1001" s="5" t="s">
        <v>290</v>
      </c>
      <c r="B1001" t="s">
        <v>45</v>
      </c>
      <c r="C1001">
        <v>2025</v>
      </c>
      <c r="D1001" t="s">
        <v>18</v>
      </c>
      <c r="E1001" t="s">
        <v>60</v>
      </c>
      <c r="F1001" t="s">
        <v>15</v>
      </c>
      <c r="G1001" t="s">
        <v>16</v>
      </c>
      <c r="H1001">
        <v>19</v>
      </c>
      <c r="I1001">
        <v>16777</v>
      </c>
      <c r="J1001">
        <v>14350</v>
      </c>
      <c r="K1001">
        <v>3247.12</v>
      </c>
      <c r="L1001" s="3">
        <f t="shared" si="15"/>
        <v>0.19354592597007808</v>
      </c>
    </row>
    <row r="1002" spans="1:12" x14ac:dyDescent="0.3">
      <c r="L1002" s="3"/>
    </row>
  </sheetData>
  <autoFilter ref="A1:L1001" xr:uid="{00000000-0001-0000-0000-000000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2"/>
  <sheetViews>
    <sheetView tabSelected="1" workbookViewId="0"/>
  </sheetViews>
  <sheetFormatPr defaultRowHeight="14.4" x14ac:dyDescent="0.3"/>
  <cols>
    <col min="1" max="1" width="13.77734375" customWidth="1"/>
  </cols>
  <sheetData>
    <row r="1" spans="1:2" x14ac:dyDescent="0.3">
      <c r="A1" s="1" t="s">
        <v>383</v>
      </c>
      <c r="B1" s="1" t="s">
        <v>384</v>
      </c>
    </row>
    <row r="2" spans="1:2" x14ac:dyDescent="0.3">
      <c r="A2" t="s">
        <v>0</v>
      </c>
      <c r="B2" t="s">
        <v>385</v>
      </c>
    </row>
    <row r="3" spans="1:2" x14ac:dyDescent="0.3">
      <c r="A3" t="s">
        <v>1</v>
      </c>
      <c r="B3" t="s">
        <v>386</v>
      </c>
    </row>
    <row r="4" spans="1:2" x14ac:dyDescent="0.3">
      <c r="A4" t="s">
        <v>2</v>
      </c>
      <c r="B4" t="s">
        <v>387</v>
      </c>
    </row>
    <row r="5" spans="1:2" x14ac:dyDescent="0.3">
      <c r="A5" t="s">
        <v>3</v>
      </c>
      <c r="B5" t="s">
        <v>388</v>
      </c>
    </row>
    <row r="6" spans="1:2" x14ac:dyDescent="0.3">
      <c r="A6" t="s">
        <v>4</v>
      </c>
      <c r="B6" t="s">
        <v>389</v>
      </c>
    </row>
    <row r="7" spans="1:2" x14ac:dyDescent="0.3">
      <c r="A7" t="s">
        <v>5</v>
      </c>
      <c r="B7" t="s">
        <v>390</v>
      </c>
    </row>
    <row r="8" spans="1:2" x14ac:dyDescent="0.3">
      <c r="A8" t="s">
        <v>6</v>
      </c>
      <c r="B8" t="s">
        <v>391</v>
      </c>
    </row>
    <row r="9" spans="1:2" x14ac:dyDescent="0.3">
      <c r="A9" t="s">
        <v>7</v>
      </c>
      <c r="B9" t="s">
        <v>392</v>
      </c>
    </row>
    <row r="10" spans="1:2" x14ac:dyDescent="0.3">
      <c r="A10" t="s">
        <v>8</v>
      </c>
      <c r="B10" t="s">
        <v>393</v>
      </c>
    </row>
    <row r="11" spans="1:2" x14ac:dyDescent="0.3">
      <c r="A11" t="s">
        <v>9</v>
      </c>
      <c r="B11" t="s">
        <v>394</v>
      </c>
    </row>
    <row r="12" spans="1:2" x14ac:dyDescent="0.3">
      <c r="A12" t="s">
        <v>10</v>
      </c>
      <c r="B12" t="s">
        <v>395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Pivot table</vt:lpstr>
      <vt:lpstr>Dashboard</vt:lpstr>
      <vt:lpstr>SalesData</vt:lpstr>
      <vt:lpstr>Data_Dictionary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jhaakanksha1999@outlook.com</cp:lastModifiedBy>
  <dcterms:created xsi:type="dcterms:W3CDTF">2026-02-27T17:18:09Z</dcterms:created>
  <dcterms:modified xsi:type="dcterms:W3CDTF">2026-02-28T00:13:33Z</dcterms:modified>
</cp:coreProperties>
</file>